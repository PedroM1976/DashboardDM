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D9947906-A96F-422F-A977-CA490929AC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192" i="1" l="1"/>
  <c r="AL4192" i="1"/>
  <c r="AL4191" i="1"/>
  <c r="AK4191" i="1"/>
  <c r="AL4181" i="1"/>
  <c r="AK4181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5" i="1"/>
  <c r="V4195" i="1" s="1"/>
  <c r="U4192" i="1"/>
  <c r="V4192" i="1" s="1"/>
  <c r="U4191" i="1"/>
  <c r="V4191" i="1" s="1"/>
  <c r="U4181" i="1"/>
  <c r="V4181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2" i="1"/>
  <c r="X4181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20" i="1"/>
  <c r="X4220" i="1" s="1"/>
  <c r="W3754" i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W520" i="1"/>
  <c r="X520" i="1" s="1"/>
  <c r="W448" i="1"/>
  <c r="AL448" i="1" s="1"/>
  <c r="W215" i="1"/>
  <c r="W4466" i="1"/>
  <c r="AK4466" i="1" s="1"/>
  <c r="W4467" i="1"/>
  <c r="X4467" i="1" s="1"/>
  <c r="W4465" i="1"/>
  <c r="AL4465" i="1" s="1"/>
  <c r="AL4469" i="1"/>
  <c r="AK4469" i="1"/>
  <c r="AL4468" i="1"/>
  <c r="AK4468" i="1"/>
  <c r="X4469" i="1"/>
  <c r="X4468" i="1"/>
  <c r="U4466" i="1"/>
  <c r="V4466" i="1" s="1"/>
  <c r="U4467" i="1"/>
  <c r="V4467" i="1" s="1"/>
  <c r="U4468" i="1"/>
  <c r="V4468" i="1" s="1"/>
  <c r="U4469" i="1"/>
  <c r="V4469" i="1" s="1"/>
  <c r="U4465" i="1"/>
  <c r="V4465" i="1" s="1"/>
  <c r="AK4222" i="1"/>
  <c r="AL4222" i="1"/>
  <c r="X4224" i="1"/>
  <c r="W4224" i="1"/>
  <c r="AK4224" i="1"/>
  <c r="AL4224" i="1"/>
  <c r="U4224" i="1"/>
  <c r="V4224" i="1" s="1"/>
  <c r="W4205" i="1"/>
  <c r="X4205" i="1" s="1"/>
  <c r="W4204" i="1"/>
  <c r="AK4204" i="1" s="1"/>
  <c r="W4454" i="1"/>
  <c r="AK4454" i="1" s="1"/>
  <c r="W4449" i="1"/>
  <c r="X4449" i="1" s="1"/>
  <c r="W4450" i="1"/>
  <c r="X4450" i="1" s="1"/>
  <c r="W4463" i="1"/>
  <c r="AK4463" i="1" s="1"/>
  <c r="W4461" i="1"/>
  <c r="X4461" i="1" s="1"/>
  <c r="W4460" i="1"/>
  <c r="AK4460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L4220" i="1"/>
  <c r="AK4220" i="1"/>
  <c r="AK4218" i="1"/>
  <c r="AL4218" i="1"/>
  <c r="W4388" i="1"/>
  <c r="AL4388" i="1" s="1"/>
  <c r="U4220" i="1"/>
  <c r="V4220" i="1" s="1"/>
  <c r="W4464" i="1"/>
  <c r="X4464" i="1" s="1"/>
  <c r="W4453" i="1"/>
  <c r="AK4453" i="1" s="1"/>
  <c r="W3626" i="1"/>
  <c r="W3625" i="1"/>
  <c r="X3625" i="1" s="1"/>
  <c r="W2730" i="1"/>
  <c r="AK2730" i="1" s="1"/>
  <c r="W1266" i="1"/>
  <c r="AL1266" i="1" s="1"/>
  <c r="W4452" i="1"/>
  <c r="AK4452" i="1" s="1"/>
  <c r="AK4445" i="1"/>
  <c r="AL4445" i="1"/>
  <c r="AK4446" i="1"/>
  <c r="AL4446" i="1"/>
  <c r="AK4447" i="1"/>
  <c r="AL4447" i="1"/>
  <c r="AK4448" i="1"/>
  <c r="AL4448" i="1"/>
  <c r="AK4451" i="1"/>
  <c r="AL4451" i="1"/>
  <c r="AK4455" i="1"/>
  <c r="AL4455" i="1"/>
  <c r="AK4456" i="1"/>
  <c r="AL4456" i="1"/>
  <c r="AK4457" i="1"/>
  <c r="AL4457" i="1"/>
  <c r="AK4458" i="1"/>
  <c r="AL4458" i="1"/>
  <c r="AK4459" i="1"/>
  <c r="AL4459" i="1"/>
  <c r="AK4462" i="1"/>
  <c r="AL4462" i="1"/>
  <c r="X4445" i="1"/>
  <c r="X4446" i="1"/>
  <c r="X4447" i="1"/>
  <c r="X4448" i="1"/>
  <c r="X4451" i="1"/>
  <c r="X4455" i="1"/>
  <c r="X4456" i="1"/>
  <c r="X4457" i="1"/>
  <c r="X4458" i="1"/>
  <c r="X4459" i="1"/>
  <c r="X4462" i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63" i="1"/>
  <c r="V4463" i="1" s="1"/>
  <c r="U4464" i="1"/>
  <c r="V4464" i="1" s="1"/>
  <c r="U4445" i="1"/>
  <c r="V4445" i="1" s="1"/>
  <c r="W2722" i="1"/>
  <c r="W2310" i="1"/>
  <c r="W1955" i="1"/>
  <c r="W1934" i="1"/>
  <c r="W1735" i="1"/>
  <c r="X1735" i="1" s="1"/>
  <c r="W1590" i="1"/>
  <c r="W1569" i="1"/>
  <c r="AK1569" i="1" s="1"/>
  <c r="W566" i="1"/>
  <c r="AL566" i="1" s="1"/>
  <c r="AK2335" i="1"/>
  <c r="W2328" i="1"/>
  <c r="W4435" i="1"/>
  <c r="AK4435" i="1" s="1"/>
  <c r="W4442" i="1"/>
  <c r="AK4442" i="1" s="1"/>
  <c r="W4441" i="1"/>
  <c r="AL4441" i="1" s="1"/>
  <c r="W4439" i="1"/>
  <c r="X4439" i="1" s="1"/>
  <c r="W4438" i="1"/>
  <c r="AK4438" i="1" s="1"/>
  <c r="AK4436" i="1"/>
  <c r="AL4436" i="1"/>
  <c r="AK4437" i="1"/>
  <c r="AL4437" i="1"/>
  <c r="AK4440" i="1"/>
  <c r="AL4440" i="1"/>
  <c r="AK4443" i="1"/>
  <c r="AL4443" i="1"/>
  <c r="AK4444" i="1"/>
  <c r="AL4444" i="1"/>
  <c r="W4434" i="1"/>
  <c r="X4434" i="1" s="1"/>
  <c r="X4436" i="1"/>
  <c r="X4437" i="1"/>
  <c r="X4440" i="1"/>
  <c r="X4443" i="1"/>
  <c r="X4444" i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43" i="1"/>
  <c r="V4443" i="1" s="1"/>
  <c r="U4444" i="1"/>
  <c r="V4444" i="1" s="1"/>
  <c r="U4434" i="1"/>
  <c r="V4434" i="1" s="1"/>
  <c r="W4189" i="1"/>
  <c r="AL4189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0" i="1"/>
  <c r="AL4410" i="1" s="1"/>
  <c r="W4377" i="1"/>
  <c r="AL4377" i="1" s="1"/>
  <c r="AL4232" i="1"/>
  <c r="AK4232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3" i="1"/>
  <c r="AL4253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9" i="1"/>
  <c r="AL4379" i="1" s="1"/>
  <c r="W4283" i="1"/>
  <c r="AK4283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8" i="1"/>
  <c r="X4408" i="1" s="1"/>
  <c r="W4375" i="1"/>
  <c r="X4375" i="1" s="1"/>
  <c r="W4282" i="1"/>
  <c r="X4282" i="1" s="1"/>
  <c r="W3308" i="1"/>
  <c r="X3308" i="1" s="1"/>
  <c r="W2716" i="1"/>
  <c r="AL2716" i="1" s="1"/>
  <c r="W830" i="1"/>
  <c r="AL830" i="1" s="1"/>
  <c r="W474" i="1"/>
  <c r="AL474" i="1" s="1"/>
  <c r="W4428" i="1"/>
  <c r="AK4428" i="1" s="1"/>
  <c r="W4281" i="1"/>
  <c r="X4281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5" i="1"/>
  <c r="X4246" i="1"/>
  <c r="X4249" i="1"/>
  <c r="U4246" i="1"/>
  <c r="V4246" i="1" s="1"/>
  <c r="U4245" i="1"/>
  <c r="V4245" i="1" s="1"/>
  <c r="W4241" i="1"/>
  <c r="X4241" i="1" s="1"/>
  <c r="W4240" i="1"/>
  <c r="X4240" i="1" s="1"/>
  <c r="U4249" i="1"/>
  <c r="V4249" i="1" s="1"/>
  <c r="W4262" i="1"/>
  <c r="X4262" i="1" s="1"/>
  <c r="W4261" i="1"/>
  <c r="X4261" i="1" s="1"/>
  <c r="W4409" i="1"/>
  <c r="AK4409" i="1" s="1"/>
  <c r="W4429" i="1"/>
  <c r="AK4429" i="1" s="1"/>
  <c r="U917" i="1"/>
  <c r="V917" i="1" s="1"/>
  <c r="W912" i="1"/>
  <c r="X912" i="1" s="1"/>
  <c r="AL4382" i="1"/>
  <c r="AK4382" i="1"/>
  <c r="AL4184" i="1"/>
  <c r="AK4184" i="1"/>
  <c r="X4382" i="1"/>
  <c r="X4184" i="1"/>
  <c r="U4184" i="1"/>
  <c r="V4184" i="1" s="1"/>
  <c r="W1908" i="1"/>
  <c r="AK1908" i="1" s="1"/>
  <c r="X4218" i="1"/>
  <c r="W3844" i="1"/>
  <c r="AL3844" i="1" s="1"/>
  <c r="W1980" i="1"/>
  <c r="AK1980" i="1" s="1"/>
  <c r="W3124" i="1"/>
  <c r="X3124" i="1" s="1"/>
  <c r="W1816" i="1"/>
  <c r="AL1816" i="1" s="1"/>
  <c r="W4217" i="1"/>
  <c r="AL4217" i="1" s="1"/>
  <c r="W4216" i="1"/>
  <c r="AK4216" i="1" s="1"/>
  <c r="W4215" i="1"/>
  <c r="X4215" i="1" s="1"/>
  <c r="W4214" i="1"/>
  <c r="X4214" i="1" s="1"/>
  <c r="W4213" i="1"/>
  <c r="AL4213" i="1" s="1"/>
  <c r="X4219" i="1"/>
  <c r="X4416" i="1"/>
  <c r="X4414" i="1"/>
  <c r="X4378" i="1"/>
  <c r="X4365" i="1"/>
  <c r="X4325" i="1"/>
  <c r="X4222" i="1"/>
  <c r="X4190" i="1"/>
  <c r="X4188" i="1"/>
  <c r="X4173" i="1"/>
  <c r="X4154" i="1"/>
  <c r="U4222" i="1"/>
  <c r="V4222" i="1" s="1"/>
  <c r="U4190" i="1"/>
  <c r="V4190" i="1" s="1"/>
  <c r="U4188" i="1"/>
  <c r="V4188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1" i="1"/>
  <c r="AL4381" i="1" s="1"/>
  <c r="W4256" i="1"/>
  <c r="AL4256" i="1" s="1"/>
  <c r="W4244" i="1"/>
  <c r="AL4244" i="1" s="1"/>
  <c r="W4235" i="1"/>
  <c r="X4235" i="1" s="1"/>
  <c r="W4095" i="1"/>
  <c r="AL4095" i="1" s="1"/>
  <c r="W4053" i="1"/>
  <c r="X4053" i="1" s="1"/>
  <c r="W121" i="1"/>
  <c r="X121" i="1" s="1"/>
  <c r="W4430" i="1"/>
  <c r="AK4430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7" i="1"/>
  <c r="AK4227" i="1" s="1"/>
  <c r="U4227" i="1"/>
  <c r="V4227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0" i="1"/>
  <c r="X4210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5" i="1"/>
  <c r="AK4275" i="1"/>
  <c r="AL4273" i="1"/>
  <c r="AK4273" i="1"/>
  <c r="AL4123" i="1"/>
  <c r="AK4123" i="1"/>
  <c r="X4275" i="1"/>
  <c r="X4273" i="1"/>
  <c r="W4121" i="1"/>
  <c r="AL4121" i="1" s="1"/>
  <c r="U4121" i="1"/>
  <c r="V4121" i="1" s="1"/>
  <c r="W4274" i="1"/>
  <c r="AL4274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5" i="1"/>
  <c r="AL4315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6" i="1"/>
  <c r="U4157" i="1"/>
  <c r="V4157" i="1" s="1"/>
  <c r="W4407" i="1"/>
  <c r="AL4407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50" i="1"/>
  <c r="W2271" i="1"/>
  <c r="W4337" i="1"/>
  <c r="AL4337" i="1" s="1"/>
  <c r="W4333" i="1"/>
  <c r="X4333" i="1" s="1"/>
  <c r="W3466" i="1"/>
  <c r="X3466" i="1" s="1"/>
  <c r="W3465" i="1"/>
  <c r="AL3465" i="1" s="1"/>
  <c r="W521" i="1"/>
  <c r="X521" i="1" s="1"/>
  <c r="W4254" i="1"/>
  <c r="AK4254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9" i="1"/>
  <c r="AL4419" i="1" s="1"/>
  <c r="W4308" i="1"/>
  <c r="X4308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5" i="1"/>
  <c r="AK4425" i="1" s="1"/>
  <c r="W4412" i="1"/>
  <c r="AK4412" i="1" s="1"/>
  <c r="W4405" i="1"/>
  <c r="AL4405" i="1" s="1"/>
  <c r="W4393" i="1"/>
  <c r="AK4393" i="1" s="1"/>
  <c r="W4387" i="1"/>
  <c r="AL4387" i="1" s="1"/>
  <c r="W4385" i="1"/>
  <c r="X4385" i="1" s="1"/>
  <c r="W4374" i="1"/>
  <c r="X4374" i="1" s="1"/>
  <c r="W4370" i="1"/>
  <c r="X4370" i="1" s="1"/>
  <c r="W4357" i="1"/>
  <c r="AK4357" i="1" s="1"/>
  <c r="W4351" i="1"/>
  <c r="X4351" i="1" s="1"/>
  <c r="W4349" i="1"/>
  <c r="X4349" i="1" s="1"/>
  <c r="W4341" i="1"/>
  <c r="X4341" i="1" s="1"/>
  <c r="W4336" i="1"/>
  <c r="AK4336" i="1" s="1"/>
  <c r="W4324" i="1"/>
  <c r="AL4324" i="1" s="1"/>
  <c r="W4313" i="1"/>
  <c r="AL4313" i="1" s="1"/>
  <c r="W4311" i="1"/>
  <c r="AL4311" i="1" s="1"/>
  <c r="W4307" i="1"/>
  <c r="X4307" i="1" s="1"/>
  <c r="W4305" i="1"/>
  <c r="AK4305" i="1" s="1"/>
  <c r="W4302" i="1"/>
  <c r="X4302" i="1" s="1"/>
  <c r="W4295" i="1"/>
  <c r="AL4295" i="1" s="1"/>
  <c r="W4271" i="1"/>
  <c r="W4266" i="1"/>
  <c r="AG4266" i="1" s="1"/>
  <c r="W4264" i="1"/>
  <c r="W4248" i="1"/>
  <c r="X4248" i="1" s="1"/>
  <c r="W4226" i="1"/>
  <c r="W4209" i="1"/>
  <c r="X4209" i="1" s="1"/>
  <c r="W4207" i="1"/>
  <c r="W4186" i="1"/>
  <c r="W4180" i="1"/>
  <c r="W4178" i="1"/>
  <c r="AG4178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4" i="1"/>
  <c r="AK4424" i="1" s="1"/>
  <c r="W4411" i="1"/>
  <c r="AL4411" i="1" s="1"/>
  <c r="W4404" i="1"/>
  <c r="AK4404" i="1" s="1"/>
  <c r="W4392" i="1"/>
  <c r="AK4392" i="1" s="1"/>
  <c r="W4386" i="1"/>
  <c r="X4386" i="1" s="1"/>
  <c r="W4384" i="1"/>
  <c r="X4384" i="1" s="1"/>
  <c r="W4373" i="1"/>
  <c r="X4373" i="1" s="1"/>
  <c r="W4369" i="1"/>
  <c r="AK4369" i="1" s="1"/>
  <c r="W4356" i="1"/>
  <c r="X4356" i="1" s="1"/>
  <c r="W4350" i="1"/>
  <c r="AL4350" i="1" s="1"/>
  <c r="W4348" i="1"/>
  <c r="AK4348" i="1" s="1"/>
  <c r="W4340" i="1"/>
  <c r="AK4340" i="1" s="1"/>
  <c r="W4335" i="1"/>
  <c r="X4335" i="1" s="1"/>
  <c r="W4323" i="1"/>
  <c r="X4323" i="1" s="1"/>
  <c r="W4312" i="1"/>
  <c r="X4312" i="1" s="1"/>
  <c r="W4310" i="1"/>
  <c r="AL4310" i="1" s="1"/>
  <c r="W4306" i="1"/>
  <c r="AK4306" i="1" s="1"/>
  <c r="W4304" i="1"/>
  <c r="AK4304" i="1" s="1"/>
  <c r="W4301" i="1"/>
  <c r="X4301" i="1" s="1"/>
  <c r="W4294" i="1"/>
  <c r="AK4294" i="1" s="1"/>
  <c r="W4270" i="1"/>
  <c r="AK4270" i="1" s="1"/>
  <c r="W4265" i="1"/>
  <c r="W4263" i="1"/>
  <c r="W4247" i="1"/>
  <c r="AL4247" i="1" s="1"/>
  <c r="W4225" i="1"/>
  <c r="AG4225" i="1" s="1"/>
  <c r="W4208" i="1"/>
  <c r="W4206" i="1"/>
  <c r="AK4206" i="1" s="1"/>
  <c r="W4193" i="1"/>
  <c r="AG4193" i="1" s="1"/>
  <c r="W4185" i="1"/>
  <c r="W4179" i="1"/>
  <c r="AG4179" i="1" s="1"/>
  <c r="W4177" i="1"/>
  <c r="X4177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7" i="1"/>
  <c r="X4212" i="1"/>
  <c r="X4211" i="1"/>
  <c r="AL4219" i="1"/>
  <c r="AK4219" i="1"/>
  <c r="AL4214" i="1"/>
  <c r="AK4214" i="1"/>
  <c r="AK4213" i="1"/>
  <c r="AL4212" i="1"/>
  <c r="AK4212" i="1"/>
  <c r="AL4211" i="1"/>
  <c r="AK4211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7" i="1"/>
  <c r="AL4277" i="1" s="1"/>
  <c r="W4276" i="1"/>
  <c r="AL4276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9" i="1"/>
  <c r="AK4389" i="1" s="1"/>
  <c r="W4355" i="1"/>
  <c r="AK4355" i="1" s="1"/>
  <c r="W4354" i="1"/>
  <c r="AK4354" i="1" s="1"/>
  <c r="W4183" i="1"/>
  <c r="AL4183" i="1" s="1"/>
  <c r="W4182" i="1"/>
  <c r="AL4182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3" i="1"/>
  <c r="V4183" i="1" s="1"/>
  <c r="U4182" i="1"/>
  <c r="V4182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30" i="1"/>
  <c r="V4230" i="1" s="1"/>
  <c r="U4199" i="1"/>
  <c r="V4199" i="1" s="1"/>
  <c r="AL4201" i="1"/>
  <c r="AK4201" i="1"/>
  <c r="X4201" i="1"/>
  <c r="U4201" i="1"/>
  <c r="V4201" i="1" s="1"/>
  <c r="AL4190" i="1"/>
  <c r="AK4190" i="1"/>
  <c r="AL4188" i="1"/>
  <c r="AK4188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8" i="1"/>
  <c r="AK4098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7" i="1"/>
  <c r="X4367" i="1" s="1"/>
  <c r="W4364" i="1"/>
  <c r="X4364" i="1" s="1"/>
  <c r="W4413" i="1"/>
  <c r="AK4413" i="1" s="1"/>
  <c r="W4360" i="1"/>
  <c r="AL4360" i="1" s="1"/>
  <c r="X4319" i="1"/>
  <c r="W4406" i="1"/>
  <c r="AK4406" i="1" s="1"/>
  <c r="W4415" i="1"/>
  <c r="AK4415" i="1" s="1"/>
  <c r="AL4417" i="1"/>
  <c r="X4417" i="1"/>
  <c r="W4418" i="1"/>
  <c r="AK4418" i="1" s="1"/>
  <c r="W4421" i="1"/>
  <c r="AL4421" i="1" s="1"/>
  <c r="W4422" i="1"/>
  <c r="AK4422" i="1" s="1"/>
  <c r="W4433" i="1"/>
  <c r="X4433" i="1" s="1"/>
  <c r="W4432" i="1"/>
  <c r="AK4432" i="1" s="1"/>
  <c r="W4431" i="1"/>
  <c r="AK4431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3" i="1"/>
  <c r="AL4303" i="1"/>
  <c r="AK4309" i="1"/>
  <c r="AL4309" i="1"/>
  <c r="AK4314" i="1"/>
  <c r="AL4314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K4332" i="1"/>
  <c r="AK4334" i="1"/>
  <c r="AL4334" i="1"/>
  <c r="AK4338" i="1"/>
  <c r="AL4338" i="1"/>
  <c r="AK4339" i="1"/>
  <c r="AL4339" i="1"/>
  <c r="AK4342" i="1"/>
  <c r="AL4342" i="1"/>
  <c r="AK4343" i="1"/>
  <c r="AL4343" i="1"/>
  <c r="AK4344" i="1"/>
  <c r="AL4344" i="1"/>
  <c r="AK4345" i="1"/>
  <c r="AL4345" i="1"/>
  <c r="AK4346" i="1"/>
  <c r="AL4346" i="1"/>
  <c r="AK4347" i="1"/>
  <c r="AL4347" i="1"/>
  <c r="AK4352" i="1"/>
  <c r="AL4352" i="1"/>
  <c r="AK4353" i="1"/>
  <c r="AL4353" i="1"/>
  <c r="AK4358" i="1"/>
  <c r="AK4359" i="1"/>
  <c r="AK4361" i="1"/>
  <c r="AL4361" i="1"/>
  <c r="AK4362" i="1"/>
  <c r="AK4363" i="1"/>
  <c r="AL4363" i="1"/>
  <c r="AK4365" i="1"/>
  <c r="AL4365" i="1"/>
  <c r="AK4366" i="1"/>
  <c r="AL4366" i="1"/>
  <c r="AK4368" i="1"/>
  <c r="AL4368" i="1"/>
  <c r="AK4371" i="1"/>
  <c r="AL4371" i="1"/>
  <c r="AK4372" i="1"/>
  <c r="AL4372" i="1"/>
  <c r="AK4376" i="1"/>
  <c r="AL4376" i="1"/>
  <c r="AK4378" i="1"/>
  <c r="AL4378" i="1"/>
  <c r="AK4380" i="1"/>
  <c r="AL4380" i="1"/>
  <c r="AK4383" i="1"/>
  <c r="AL4383" i="1"/>
  <c r="AK4390" i="1"/>
  <c r="AL4390" i="1"/>
  <c r="AK4391" i="1"/>
  <c r="AL4391" i="1"/>
  <c r="AK4394" i="1"/>
  <c r="AL4394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14" i="1"/>
  <c r="AL4414" i="1"/>
  <c r="AK4416" i="1"/>
  <c r="AL4416" i="1"/>
  <c r="AK4417" i="1"/>
  <c r="AK4420" i="1"/>
  <c r="AL4420" i="1"/>
  <c r="AK4423" i="1"/>
  <c r="AL4423" i="1"/>
  <c r="AK4426" i="1"/>
  <c r="AL4426" i="1"/>
  <c r="AK4427" i="1"/>
  <c r="AL4427" i="1"/>
  <c r="X4242" i="1"/>
  <c r="X4243" i="1"/>
  <c r="U4240" i="1"/>
  <c r="V4240" i="1" s="1"/>
  <c r="U4241" i="1"/>
  <c r="V4241" i="1" s="1"/>
  <c r="U4242" i="1"/>
  <c r="V4242" i="1" s="1"/>
  <c r="U4243" i="1"/>
  <c r="V4243" i="1" s="1"/>
  <c r="X4303" i="1"/>
  <c r="X4309" i="1"/>
  <c r="X4314" i="1"/>
  <c r="X4316" i="1"/>
  <c r="X4317" i="1"/>
  <c r="X4318" i="1"/>
  <c r="X4320" i="1"/>
  <c r="X4321" i="1"/>
  <c r="X4322" i="1"/>
  <c r="X4326" i="1"/>
  <c r="X4327" i="1"/>
  <c r="X4328" i="1"/>
  <c r="X4329" i="1"/>
  <c r="X4330" i="1"/>
  <c r="X4334" i="1"/>
  <c r="X4338" i="1"/>
  <c r="X4339" i="1"/>
  <c r="X4342" i="1"/>
  <c r="X4343" i="1"/>
  <c r="X4344" i="1"/>
  <c r="X4345" i="1"/>
  <c r="X4346" i="1"/>
  <c r="X4347" i="1"/>
  <c r="X4352" i="1"/>
  <c r="X4353" i="1"/>
  <c r="X4361" i="1"/>
  <c r="X4363" i="1"/>
  <c r="X4366" i="1"/>
  <c r="X4368" i="1"/>
  <c r="X4371" i="1"/>
  <c r="X4372" i="1"/>
  <c r="X4376" i="1"/>
  <c r="X4380" i="1"/>
  <c r="X4383" i="1"/>
  <c r="X4390" i="1"/>
  <c r="X4391" i="1"/>
  <c r="X4394" i="1"/>
  <c r="X4395" i="1"/>
  <c r="X4396" i="1"/>
  <c r="X4397" i="1"/>
  <c r="X4398" i="1"/>
  <c r="X4399" i="1"/>
  <c r="X4400" i="1"/>
  <c r="X4401" i="1"/>
  <c r="X4402" i="1"/>
  <c r="X4403" i="1"/>
  <c r="X4420" i="1"/>
  <c r="X4422" i="1"/>
  <c r="X4423" i="1"/>
  <c r="X4426" i="1"/>
  <c r="X4427" i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V4417" i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303" i="1"/>
  <c r="V4303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200" i="1"/>
  <c r="AK4200" i="1"/>
  <c r="X4200" i="1"/>
  <c r="U4200" i="1"/>
  <c r="V4200" i="1" s="1"/>
  <c r="AK4279" i="1"/>
  <c r="AL4278" i="1"/>
  <c r="AK4278" i="1"/>
  <c r="AL4176" i="1"/>
  <c r="AK4176" i="1"/>
  <c r="U924" i="1"/>
  <c r="V924" i="1" s="1"/>
  <c r="W519" i="1"/>
  <c r="AL519" i="1" s="1"/>
  <c r="W2799" i="1"/>
  <c r="AL2799" i="1" s="1"/>
  <c r="U4065" i="1"/>
  <c r="V4065" i="1" s="1"/>
  <c r="AL4269" i="1"/>
  <c r="AK4269" i="1"/>
  <c r="AL4260" i="1"/>
  <c r="AK4260" i="1"/>
  <c r="AL4065" i="1"/>
  <c r="AK4065" i="1"/>
  <c r="W317" i="1"/>
  <c r="AL317" i="1" s="1"/>
  <c r="W318" i="1"/>
  <c r="AL318" i="1" s="1"/>
  <c r="W4268" i="1"/>
  <c r="X4268" i="1" s="1"/>
  <c r="AL4267" i="1"/>
  <c r="AK4267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2" i="1"/>
  <c r="AL4272" i="1"/>
  <c r="AK4280" i="1"/>
  <c r="AL4280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2" i="1"/>
  <c r="AL4292" i="1"/>
  <c r="AK4293" i="1"/>
  <c r="AL4293" i="1"/>
  <c r="AK4296" i="1"/>
  <c r="AL4296" i="1"/>
  <c r="AK4297" i="1"/>
  <c r="AL4297" i="1"/>
  <c r="AK4298" i="1"/>
  <c r="AL4298" i="1"/>
  <c r="AK4299" i="1"/>
  <c r="AL4299" i="1"/>
  <c r="AK4300" i="1"/>
  <c r="AL4300" i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10" i="1"/>
  <c r="V4210" i="1" s="1"/>
  <c r="X4260" i="1"/>
  <c r="U4261" i="1"/>
  <c r="V4261" i="1" s="1"/>
  <c r="U4262" i="1"/>
  <c r="V4262" i="1" s="1"/>
  <c r="U4260" i="1"/>
  <c r="V4260" i="1" s="1"/>
  <c r="W4291" i="1"/>
  <c r="X4291" i="1" s="1"/>
  <c r="X4288" i="1"/>
  <c r="X4289" i="1"/>
  <c r="X4290" i="1"/>
  <c r="X4292" i="1"/>
  <c r="X4293" i="1"/>
  <c r="X4296" i="1"/>
  <c r="X4297" i="1"/>
  <c r="X4298" i="1"/>
  <c r="X4299" i="1"/>
  <c r="X4300" i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X4272" i="1"/>
  <c r="X4278" i="1"/>
  <c r="X4280" i="1"/>
  <c r="X4284" i="1"/>
  <c r="X4285" i="1"/>
  <c r="X4286" i="1"/>
  <c r="X4287" i="1"/>
  <c r="X4267" i="1"/>
  <c r="X4269" i="1"/>
  <c r="U4267" i="1"/>
  <c r="V4267" i="1" s="1"/>
  <c r="U4268" i="1"/>
  <c r="V4268" i="1" s="1"/>
  <c r="U4269" i="1"/>
  <c r="V4269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0" i="1"/>
  <c r="V4280" i="1" s="1"/>
  <c r="U4273" i="1"/>
  <c r="V4273" i="1" s="1"/>
  <c r="U4274" i="1"/>
  <c r="V4274" i="1" s="1"/>
  <c r="U4275" i="1"/>
  <c r="V4275" i="1" s="1"/>
  <c r="U4276" i="1"/>
  <c r="V4276" i="1" s="1"/>
  <c r="U4277" i="1"/>
  <c r="V4277" i="1" s="1"/>
  <c r="U4272" i="1"/>
  <c r="V4272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8" i="1"/>
  <c r="V4278" i="1" s="1"/>
  <c r="U4176" i="1"/>
  <c r="V4176" i="1" s="1"/>
  <c r="U4175" i="1"/>
  <c r="V4175" i="1" s="1"/>
  <c r="AG1966" i="1"/>
  <c r="W900" i="1"/>
  <c r="AL900" i="1" s="1"/>
  <c r="AJ4187" i="1"/>
  <c r="AF4187" i="1" s="1"/>
  <c r="W4187" i="1"/>
  <c r="AL4187" i="1" s="1"/>
  <c r="W4258" i="1"/>
  <c r="AK4258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8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1" i="1"/>
  <c r="AF4271" i="1" s="1"/>
  <c r="U4271" i="1"/>
  <c r="V4271" i="1" s="1"/>
  <c r="AJ4270" i="1"/>
  <c r="U4270" i="1"/>
  <c r="V4270" i="1" s="1"/>
  <c r="AJ4266" i="1"/>
  <c r="AF4266" i="1" s="1"/>
  <c r="U4266" i="1"/>
  <c r="V4266" i="1" s="1"/>
  <c r="AJ4265" i="1"/>
  <c r="U4265" i="1"/>
  <c r="V4265" i="1" s="1"/>
  <c r="AJ4264" i="1"/>
  <c r="AF4264" i="1" s="1"/>
  <c r="U4264" i="1"/>
  <c r="V4264" i="1" s="1"/>
  <c r="AJ4263" i="1"/>
  <c r="U4263" i="1"/>
  <c r="V4263" i="1" s="1"/>
  <c r="AJ4259" i="1"/>
  <c r="AF4259" i="1" s="1"/>
  <c r="W4259" i="1"/>
  <c r="AK4259" i="1" s="1"/>
  <c r="U4259" i="1"/>
  <c r="V4259" i="1" s="1"/>
  <c r="AJ4258" i="1"/>
  <c r="AF4258" i="1" s="1"/>
  <c r="U4258" i="1"/>
  <c r="V4258" i="1" s="1"/>
  <c r="AF4257" i="1"/>
  <c r="W4257" i="1"/>
  <c r="X4257" i="1" s="1"/>
  <c r="U4257" i="1"/>
  <c r="V4257" i="1" s="1"/>
  <c r="U4256" i="1"/>
  <c r="V4256" i="1" s="1"/>
  <c r="AJ4255" i="1"/>
  <c r="AF4255" i="1" s="1"/>
  <c r="W4255" i="1"/>
  <c r="U4255" i="1"/>
  <c r="V4255" i="1" s="1"/>
  <c r="AJ4254" i="1"/>
  <c r="AF4254" i="1" s="1"/>
  <c r="U4254" i="1"/>
  <c r="V4254" i="1" s="1"/>
  <c r="U4253" i="1"/>
  <c r="V4253" i="1" s="1"/>
  <c r="AJ4252" i="1"/>
  <c r="AF4252" i="1" s="1"/>
  <c r="W4252" i="1"/>
  <c r="X4252" i="1" s="1"/>
  <c r="U4252" i="1"/>
  <c r="V4252" i="1" s="1"/>
  <c r="AL4251" i="1"/>
  <c r="AK4251" i="1"/>
  <c r="AJ4251" i="1"/>
  <c r="AF4251" i="1" s="1"/>
  <c r="X4251" i="1"/>
  <c r="U4251" i="1"/>
  <c r="V4251" i="1" s="1"/>
  <c r="AL4250" i="1"/>
  <c r="AK4250" i="1"/>
  <c r="AJ4250" i="1"/>
  <c r="AF4250" i="1" s="1"/>
  <c r="X4250" i="1"/>
  <c r="U4250" i="1"/>
  <c r="V4250" i="1" s="1"/>
  <c r="AJ4248" i="1"/>
  <c r="AF4248" i="1" s="1"/>
  <c r="U4248" i="1"/>
  <c r="V4248" i="1" s="1"/>
  <c r="AJ4247" i="1"/>
  <c r="U4247" i="1"/>
  <c r="V4247" i="1" s="1"/>
  <c r="U4244" i="1"/>
  <c r="V4244" i="1" s="1"/>
  <c r="AJ4239" i="1"/>
  <c r="AF4239" i="1" s="1"/>
  <c r="W4239" i="1"/>
  <c r="U4239" i="1"/>
  <c r="V4239" i="1" s="1"/>
  <c r="AL4238" i="1"/>
  <c r="AK4238" i="1"/>
  <c r="AJ4238" i="1"/>
  <c r="AF4238" i="1" s="1"/>
  <c r="X4238" i="1"/>
  <c r="U4238" i="1"/>
  <c r="V4238" i="1" s="1"/>
  <c r="X4236" i="1"/>
  <c r="U4236" i="1"/>
  <c r="V4236" i="1" s="1"/>
  <c r="U4235" i="1"/>
  <c r="V4235" i="1" s="1"/>
  <c r="X4234" i="1"/>
  <c r="U4234" i="1"/>
  <c r="V4234" i="1" s="1"/>
  <c r="X4233" i="1"/>
  <c r="U4233" i="1"/>
  <c r="V4233" i="1" s="1"/>
  <c r="X4232" i="1"/>
  <c r="U4232" i="1"/>
  <c r="V4232" i="1" s="1"/>
  <c r="AJ4231" i="1"/>
  <c r="AF4231" i="1" s="1"/>
  <c r="W4231" i="1"/>
  <c r="X4231" i="1" s="1"/>
  <c r="U4231" i="1"/>
  <c r="V4231" i="1" s="1"/>
  <c r="AL4229" i="1"/>
  <c r="AK4229" i="1"/>
  <c r="AJ4229" i="1"/>
  <c r="AF4229" i="1" s="1"/>
  <c r="X4229" i="1"/>
  <c r="U4229" i="1"/>
  <c r="V4229" i="1" s="1"/>
  <c r="AL4228" i="1"/>
  <c r="AK4228" i="1"/>
  <c r="AJ4228" i="1"/>
  <c r="AF4228" i="1" s="1"/>
  <c r="X4228" i="1"/>
  <c r="U4228" i="1"/>
  <c r="V4228" i="1" s="1"/>
  <c r="AJ4226" i="1"/>
  <c r="AF4226" i="1" s="1"/>
  <c r="U4226" i="1"/>
  <c r="V4226" i="1" s="1"/>
  <c r="AJ4225" i="1"/>
  <c r="U4225" i="1"/>
  <c r="V4225" i="1" s="1"/>
  <c r="AJ4223" i="1"/>
  <c r="AF4223" i="1" s="1"/>
  <c r="W4223" i="1"/>
  <c r="U4223" i="1"/>
  <c r="V4223" i="1" s="1"/>
  <c r="AL4221" i="1"/>
  <c r="AK4221" i="1"/>
  <c r="AJ4221" i="1"/>
  <c r="AF4221" i="1" s="1"/>
  <c r="X4221" i="1"/>
  <c r="U4221" i="1"/>
  <c r="V4221" i="1" s="1"/>
  <c r="AJ4209" i="1"/>
  <c r="AF4209" i="1" s="1"/>
  <c r="U4209" i="1"/>
  <c r="V4209" i="1" s="1"/>
  <c r="AJ4208" i="1"/>
  <c r="U4208" i="1"/>
  <c r="V4208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AF4204" i="1" s="1"/>
  <c r="U4204" i="1"/>
  <c r="V4204" i="1" s="1"/>
  <c r="AJ4203" i="1"/>
  <c r="AF4203" i="1" s="1"/>
  <c r="W4203" i="1"/>
  <c r="U4203" i="1"/>
  <c r="V4203" i="1" s="1"/>
  <c r="X4202" i="1"/>
  <c r="U4202" i="1"/>
  <c r="V4202" i="1" s="1"/>
  <c r="AJ4198" i="1"/>
  <c r="AF4198" i="1" s="1"/>
  <c r="W4198" i="1"/>
  <c r="AL4198" i="1" s="1"/>
  <c r="U4198" i="1"/>
  <c r="V4198" i="1" s="1"/>
  <c r="AJ4197" i="1"/>
  <c r="AF4197" i="1" s="1"/>
  <c r="W4197" i="1"/>
  <c r="U4197" i="1"/>
  <c r="V4197" i="1" s="1"/>
  <c r="AJ4196" i="1"/>
  <c r="AF4196" i="1" s="1"/>
  <c r="W4196" i="1"/>
  <c r="U4196" i="1"/>
  <c r="V4196" i="1" s="1"/>
  <c r="AK4194" i="1"/>
  <c r="AJ4194" i="1"/>
  <c r="AF4194" i="1" s="1"/>
  <c r="AG4194" i="1"/>
  <c r="U4194" i="1"/>
  <c r="V4194" i="1" s="1"/>
  <c r="AJ4193" i="1"/>
  <c r="U4193" i="1"/>
  <c r="V4193" i="1" s="1"/>
  <c r="U4189" i="1"/>
  <c r="V4189" i="1" s="1"/>
  <c r="U4187" i="1"/>
  <c r="V4187" i="1" s="1"/>
  <c r="AJ4186" i="1"/>
  <c r="AF4186" i="1" s="1"/>
  <c r="U4186" i="1"/>
  <c r="V4186" i="1" s="1"/>
  <c r="AJ4185" i="1"/>
  <c r="U4185" i="1"/>
  <c r="V4185" i="1" s="1"/>
  <c r="AJ4180" i="1"/>
  <c r="AF4180" i="1" s="1"/>
  <c r="U4180" i="1"/>
  <c r="V4180" i="1" s="1"/>
  <c r="AJ4179" i="1"/>
  <c r="U4179" i="1"/>
  <c r="V4179" i="1" s="1"/>
  <c r="AJ4178" i="1"/>
  <c r="AF4178" i="1" s="1"/>
  <c r="U4178" i="1"/>
  <c r="V4178" i="1" s="1"/>
  <c r="AJ4177" i="1"/>
  <c r="U4177" i="1"/>
  <c r="V4177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J3507" i="1"/>
  <c r="AF3507" i="1" s="1"/>
  <c r="X3507" i="1"/>
  <c r="AK3506" i="1"/>
  <c r="AJ3506" i="1"/>
  <c r="AF3506" i="1" s="1"/>
  <c r="X3506" i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K2620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L1972" i="1"/>
  <c r="AK1972" i="1"/>
  <c r="AJ1972" i="1"/>
  <c r="AF1972" i="1" s="1"/>
  <c r="AJ1971" i="1"/>
  <c r="AF1971" i="1" s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K1829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K1504" i="1"/>
  <c r="AJ1504" i="1"/>
  <c r="AF1504" i="1" s="1"/>
  <c r="AL1503" i="1"/>
  <c r="AK1503" i="1"/>
  <c r="AJ1503" i="1"/>
  <c r="AF1503" i="1" s="1"/>
  <c r="X1503" i="1"/>
  <c r="AJ1502" i="1"/>
  <c r="AF1502" i="1" s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L520" i="1"/>
  <c r="AK520" i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1248" i="1" l="1"/>
  <c r="AK1248" i="1"/>
  <c r="AL2580" i="1"/>
  <c r="X767" i="1"/>
  <c r="X3505" i="1"/>
  <c r="AK3505" i="1"/>
  <c r="AL4466" i="1"/>
  <c r="AK767" i="1"/>
  <c r="AK2580" i="1"/>
  <c r="X3503" i="1"/>
  <c r="X3504" i="1"/>
  <c r="AK3503" i="1"/>
  <c r="X4466" i="1"/>
  <c r="AK3504" i="1"/>
  <c r="X448" i="1"/>
  <c r="AK448" i="1"/>
  <c r="X4465" i="1"/>
  <c r="AK1735" i="1"/>
  <c r="AL1735" i="1"/>
  <c r="AK121" i="1"/>
  <c r="AL521" i="1"/>
  <c r="X680" i="1"/>
  <c r="X1429" i="1"/>
  <c r="AL121" i="1"/>
  <c r="AK3617" i="1"/>
  <c r="AK4421" i="1"/>
  <c r="X100" i="1"/>
  <c r="AL2332" i="1"/>
  <c r="X2501" i="1"/>
  <c r="X4213" i="1"/>
  <c r="AL979" i="1"/>
  <c r="AK3731" i="1"/>
  <c r="AK4337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7" i="1"/>
  <c r="AL1971" i="1"/>
  <c r="AK3466" i="1"/>
  <c r="AK1309" i="1"/>
  <c r="AL1309" i="1"/>
  <c r="AL1506" i="1"/>
  <c r="AK4465" i="1"/>
  <c r="AK4467" i="1"/>
  <c r="AL4467" i="1"/>
  <c r="AL371" i="1"/>
  <c r="AK956" i="1"/>
  <c r="X318" i="1"/>
  <c r="AL700" i="1"/>
  <c r="X1504" i="1"/>
  <c r="AK2500" i="1"/>
  <c r="AL3617" i="1"/>
  <c r="X4204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4" i="1"/>
  <c r="X2730" i="1"/>
  <c r="X4460" i="1"/>
  <c r="AL4461" i="1"/>
  <c r="AK4205" i="1"/>
  <c r="AL4205" i="1"/>
  <c r="AL4450" i="1"/>
  <c r="AK4268" i="1"/>
  <c r="X67" i="1"/>
  <c r="X3851" i="1"/>
  <c r="AL4268" i="1"/>
  <c r="AK4461" i="1"/>
  <c r="AL956" i="1"/>
  <c r="AK3481" i="1"/>
  <c r="X4454" i="1"/>
  <c r="AK4450" i="1"/>
  <c r="X4121" i="1"/>
  <c r="X1502" i="1"/>
  <c r="AL4364" i="1"/>
  <c r="AL4449" i="1"/>
  <c r="AK4121" i="1"/>
  <c r="AL67" i="1"/>
  <c r="X457" i="1"/>
  <c r="X1378" i="1"/>
  <c r="AK1974" i="1"/>
  <c r="AK4364" i="1"/>
  <c r="X1567" i="1"/>
  <c r="AK4449" i="1"/>
  <c r="X317" i="1"/>
  <c r="X682" i="1"/>
  <c r="X1442" i="1"/>
  <c r="AK1502" i="1"/>
  <c r="AL1974" i="1"/>
  <c r="AL2747" i="1"/>
  <c r="AK2493" i="1"/>
  <c r="X4463" i="1"/>
  <c r="AK317" i="1"/>
  <c r="AK1442" i="1"/>
  <c r="AK1970" i="1"/>
  <c r="AL4254" i="1"/>
  <c r="X4315" i="1"/>
  <c r="AL2620" i="1"/>
  <c r="X4360" i="1"/>
  <c r="AL4463" i="1"/>
  <c r="AL4460" i="1"/>
  <c r="AL4454" i="1"/>
  <c r="X1266" i="1"/>
  <c r="AK1266" i="1"/>
  <c r="AL4453" i="1"/>
  <c r="AL4464" i="1"/>
  <c r="AK4464" i="1"/>
  <c r="X4453" i="1"/>
  <c r="AK4388" i="1"/>
  <c r="X4388" i="1"/>
  <c r="X4452" i="1"/>
  <c r="AL4452" i="1"/>
  <c r="X4435" i="1"/>
  <c r="AL4435" i="1"/>
  <c r="X1569" i="1"/>
  <c r="X3387" i="1"/>
  <c r="AL4438" i="1"/>
  <c r="AK87" i="1"/>
  <c r="AL87" i="1"/>
  <c r="X4085" i="1"/>
  <c r="AL4442" i="1"/>
  <c r="X4442" i="1"/>
  <c r="X4441" i="1"/>
  <c r="AK4441" i="1"/>
  <c r="AK939" i="1"/>
  <c r="X4438" i="1"/>
  <c r="AL4439" i="1"/>
  <c r="AK4439" i="1"/>
  <c r="X3398" i="1"/>
  <c r="AK3398" i="1"/>
  <c r="AL939" i="1"/>
  <c r="AK3771" i="1"/>
  <c r="AK951" i="1"/>
  <c r="AL951" i="1"/>
  <c r="X4189" i="1"/>
  <c r="AK3385" i="1"/>
  <c r="X4092" i="1"/>
  <c r="AK4092" i="1"/>
  <c r="AL4434" i="1"/>
  <c r="AK3872" i="1"/>
  <c r="AL3872" i="1"/>
  <c r="X3705" i="1"/>
  <c r="AK4434" i="1"/>
  <c r="AL4308" i="1"/>
  <c r="AK2494" i="1"/>
  <c r="AK4308" i="1"/>
  <c r="X3481" i="1"/>
  <c r="X795" i="1"/>
  <c r="X1829" i="1"/>
  <c r="X1924" i="1"/>
  <c r="X1970" i="1"/>
  <c r="X2646" i="1"/>
  <c r="X4421" i="1"/>
  <c r="X4337" i="1"/>
  <c r="AK4419" i="1"/>
  <c r="AL4333" i="1"/>
  <c r="AK4276" i="1"/>
  <c r="X4216" i="1"/>
  <c r="X1776" i="1"/>
  <c r="AK4333" i="1"/>
  <c r="AK795" i="1"/>
  <c r="X1505" i="1"/>
  <c r="AK1870" i="1"/>
  <c r="AL2646" i="1"/>
  <c r="AK2187" i="1"/>
  <c r="X3464" i="1"/>
  <c r="AK3851" i="1"/>
  <c r="X4143" i="1"/>
  <c r="AL4216" i="1"/>
  <c r="AK2981" i="1"/>
  <c r="AK3463" i="1"/>
  <c r="AK318" i="1"/>
  <c r="AL2981" i="1"/>
  <c r="AK4215" i="1"/>
  <c r="AL412" i="1"/>
  <c r="AK692" i="1"/>
  <c r="X930" i="1"/>
  <c r="AL1505" i="1"/>
  <c r="AL2187" i="1"/>
  <c r="AK4217" i="1"/>
  <c r="X692" i="1"/>
  <c r="X1506" i="1"/>
  <c r="AK1827" i="1"/>
  <c r="AL2076" i="1"/>
  <c r="AK4143" i="1"/>
  <c r="AK4277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9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0" i="1"/>
  <c r="AL493" i="1"/>
  <c r="X2331" i="1"/>
  <c r="X4083" i="1"/>
  <c r="X3660" i="1"/>
  <c r="AK629" i="1"/>
  <c r="AL629" i="1"/>
  <c r="AK3660" i="1"/>
  <c r="X476" i="1"/>
  <c r="AK4257" i="1"/>
  <c r="AL4257" i="1"/>
  <c r="AK4410" i="1"/>
  <c r="X4377" i="1"/>
  <c r="AK4377" i="1"/>
  <c r="X65" i="1"/>
  <c r="AK706" i="1"/>
  <c r="AK1410" i="1"/>
  <c r="X279" i="1"/>
  <c r="AL303" i="1"/>
  <c r="X4156" i="1"/>
  <c r="X4253" i="1"/>
  <c r="X303" i="1"/>
  <c r="X706" i="1"/>
  <c r="AL2331" i="1"/>
  <c r="AK474" i="1"/>
  <c r="AK4379" i="1"/>
  <c r="X4379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3" i="1"/>
  <c r="AK2716" i="1"/>
  <c r="AK2468" i="1"/>
  <c r="AL2468" i="1"/>
  <c r="X1908" i="1"/>
  <c r="X3651" i="1"/>
  <c r="AL279" i="1"/>
  <c r="AL4428" i="1"/>
  <c r="AL4282" i="1"/>
  <c r="AK3145" i="1"/>
  <c r="AK4282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3" i="1"/>
  <c r="AL4408" i="1"/>
  <c r="X3652" i="1"/>
  <c r="AK4408" i="1"/>
  <c r="AL3144" i="1"/>
  <c r="AK3308" i="1"/>
  <c r="X3929" i="1"/>
  <c r="AL3308" i="1"/>
  <c r="AK3652" i="1"/>
  <c r="AL4283" i="1"/>
  <c r="AK4023" i="1"/>
  <c r="AK2790" i="1"/>
  <c r="AL4281" i="1"/>
  <c r="X4428" i="1"/>
  <c r="AK2875" i="1"/>
  <c r="AK3929" i="1"/>
  <c r="AK4281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5" i="1"/>
  <c r="X4082" i="1"/>
  <c r="AK4375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9" i="1"/>
  <c r="X4429" i="1"/>
  <c r="X4247" i="1"/>
  <c r="AK1816" i="1"/>
  <c r="X3988" i="1"/>
  <c r="X2504" i="1"/>
  <c r="X4276" i="1"/>
  <c r="AL4215" i="1"/>
  <c r="AL1783" i="1"/>
  <c r="X2765" i="1"/>
  <c r="X156" i="1"/>
  <c r="X1480" i="1"/>
  <c r="AK3988" i="1"/>
  <c r="AK4274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4" i="1"/>
  <c r="AL4429" i="1"/>
  <c r="AL4409" i="1"/>
  <c r="AK4315" i="1"/>
  <c r="X4277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4" i="1"/>
  <c r="AK156" i="1"/>
  <c r="X1197" i="1"/>
  <c r="AK673" i="1"/>
  <c r="X3844" i="1"/>
  <c r="AK4141" i="1"/>
  <c r="AL4418" i="1"/>
  <c r="AK4367" i="1"/>
  <c r="AK4360" i="1"/>
  <c r="AK600" i="1"/>
  <c r="X1083" i="1"/>
  <c r="X688" i="1"/>
  <c r="X700" i="1"/>
  <c r="X752" i="1"/>
  <c r="AK1083" i="1"/>
  <c r="AK1478" i="1"/>
  <c r="AK1481" i="1"/>
  <c r="AK1779" i="1"/>
  <c r="AK3124" i="1"/>
  <c r="X4418" i="1"/>
  <c r="X1816" i="1"/>
  <c r="AK1815" i="1"/>
  <c r="AL1815" i="1"/>
  <c r="AK3844" i="1"/>
  <c r="X94" i="1"/>
  <c r="AK94" i="1"/>
  <c r="X32" i="1"/>
  <c r="AK32" i="1"/>
  <c r="AL2782" i="1"/>
  <c r="AK1731" i="1"/>
  <c r="X1731" i="1"/>
  <c r="X4244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X2817" i="1"/>
  <c r="AK2031" i="1"/>
  <c r="AK3933" i="1"/>
  <c r="X3175" i="1"/>
  <c r="X4430" i="1"/>
  <c r="AK1818" i="1"/>
  <c r="X2329" i="1"/>
  <c r="X2560" i="1"/>
  <c r="X4010" i="1"/>
  <c r="AK2560" i="1"/>
  <c r="X2200" i="1"/>
  <c r="X2632" i="1"/>
  <c r="AK4010" i="1"/>
  <c r="AK3877" i="1"/>
  <c r="X4381" i="1"/>
  <c r="AK4053" i="1"/>
  <c r="AL4053" i="1"/>
  <c r="AK4235" i="1"/>
  <c r="AL4235" i="1"/>
  <c r="AK4244" i="1"/>
  <c r="X4256" i="1"/>
  <c r="AK4095" i="1"/>
  <c r="AL2329" i="1"/>
  <c r="AL4430" i="1"/>
  <c r="AK4256" i="1"/>
  <c r="X380" i="1"/>
  <c r="AK556" i="1"/>
  <c r="AL2817" i="1"/>
  <c r="AK3175" i="1"/>
  <c r="AL93" i="1"/>
  <c r="AK2632" i="1"/>
  <c r="AK4381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7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7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0" i="1"/>
  <c r="AL2549" i="1"/>
  <c r="X3345" i="1"/>
  <c r="AL4210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7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7" i="1"/>
  <c r="AL1494" i="1"/>
  <c r="AL2422" i="1"/>
  <c r="X4157" i="1"/>
  <c r="AK4157" i="1"/>
  <c r="AK4407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2" i="1"/>
  <c r="AK2734" i="1"/>
  <c r="AL733" i="1"/>
  <c r="AL2684" i="1"/>
  <c r="AK4020" i="1"/>
  <c r="X322" i="1"/>
  <c r="AK4193" i="1"/>
  <c r="AL2095" i="1"/>
  <c r="AK1010" i="1"/>
  <c r="X640" i="1"/>
  <c r="X1454" i="1"/>
  <c r="AK486" i="1"/>
  <c r="X2409" i="1"/>
  <c r="AL486" i="1"/>
  <c r="X1182" i="1"/>
  <c r="AL1666" i="1"/>
  <c r="AL4386" i="1"/>
  <c r="X1010" i="1"/>
  <c r="AK1559" i="1"/>
  <c r="AK640" i="1"/>
  <c r="AK2406" i="1"/>
  <c r="AL765" i="1"/>
  <c r="AK2543" i="1"/>
  <c r="X4393" i="1"/>
  <c r="X48" i="1"/>
  <c r="AL4306" i="1"/>
  <c r="AK48" i="1"/>
  <c r="AL634" i="1"/>
  <c r="AK2168" i="1"/>
  <c r="AL2164" i="1"/>
  <c r="AK4313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3" i="1"/>
  <c r="X1304" i="1"/>
  <c r="AK1454" i="1"/>
  <c r="X1668" i="1"/>
  <c r="X2068" i="1"/>
  <c r="X2333" i="1"/>
  <c r="X2519" i="1"/>
  <c r="AL2743" i="1"/>
  <c r="X4306" i="1"/>
  <c r="AK4386" i="1"/>
  <c r="X460" i="1"/>
  <c r="X1311" i="1"/>
  <c r="AK1557" i="1"/>
  <c r="X1865" i="1"/>
  <c r="X2323" i="1"/>
  <c r="AK3003" i="1"/>
  <c r="AL4384" i="1"/>
  <c r="AK1182" i="1"/>
  <c r="AK1304" i="1"/>
  <c r="AL1557" i="1"/>
  <c r="AK1668" i="1"/>
  <c r="AK2068" i="1"/>
  <c r="AK2333" i="1"/>
  <c r="AK2519" i="1"/>
  <c r="X2748" i="1"/>
  <c r="AL4393" i="1"/>
  <c r="AK4384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6" i="1"/>
  <c r="AL4312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7" i="1"/>
  <c r="AL4357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2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2" i="1"/>
  <c r="AL1874" i="1"/>
  <c r="AL1884" i="1"/>
  <c r="AL2171" i="1"/>
  <c r="X2436" i="1"/>
  <c r="X2546" i="1"/>
  <c r="X2804" i="1"/>
  <c r="X4392" i="1"/>
  <c r="AK1565" i="1"/>
  <c r="X816" i="1"/>
  <c r="AK1318" i="1"/>
  <c r="AL1677" i="1"/>
  <c r="X2008" i="1"/>
  <c r="X2340" i="1"/>
  <c r="AG4206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6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2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9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5" i="1"/>
  <c r="AK1685" i="1"/>
  <c r="X2589" i="1"/>
  <c r="AL4351" i="1"/>
  <c r="X836" i="1"/>
  <c r="X1257" i="1"/>
  <c r="X1584" i="1"/>
  <c r="X2109" i="1"/>
  <c r="X2193" i="1"/>
  <c r="AK2443" i="1"/>
  <c r="AK4351" i="1"/>
  <c r="X848" i="1"/>
  <c r="AK2589" i="1"/>
  <c r="AG3014" i="1"/>
  <c r="AK4349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7" i="1"/>
  <c r="AL4307" i="1"/>
  <c r="AK836" i="1"/>
  <c r="AL1488" i="1"/>
  <c r="X2346" i="1"/>
  <c r="AL2439" i="1"/>
  <c r="AK4335" i="1"/>
  <c r="AK4307" i="1"/>
  <c r="AL4349" i="1"/>
  <c r="AK2346" i="1"/>
  <c r="X662" i="1"/>
  <c r="X1681" i="1"/>
  <c r="X4411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1" i="1"/>
  <c r="AK4411" i="1"/>
  <c r="AK1339" i="1"/>
  <c r="AK1578" i="1"/>
  <c r="AK1902" i="1"/>
  <c r="AK4301" i="1"/>
  <c r="AK573" i="1"/>
  <c r="AK2809" i="1"/>
  <c r="AK368" i="1"/>
  <c r="AK4385" i="1"/>
  <c r="AK4295" i="1"/>
  <c r="AL400" i="1"/>
  <c r="AL1732" i="1"/>
  <c r="X1532" i="1"/>
  <c r="AK4356" i="1"/>
  <c r="AK605" i="1"/>
  <c r="AK1380" i="1"/>
  <c r="AL4385" i="1"/>
  <c r="AL1107" i="1"/>
  <c r="AL1534" i="1"/>
  <c r="AL1633" i="1"/>
  <c r="X2052" i="1"/>
  <c r="X2276" i="1"/>
  <c r="X2388" i="1"/>
  <c r="AK4350" i="1"/>
  <c r="AL903" i="1"/>
  <c r="AL200" i="1"/>
  <c r="AK727" i="1"/>
  <c r="AK1627" i="1"/>
  <c r="AL4374" i="1"/>
  <c r="AK200" i="1"/>
  <c r="AL614" i="1"/>
  <c r="X605" i="1"/>
  <c r="AL727" i="1"/>
  <c r="X1380" i="1"/>
  <c r="AL1627" i="1"/>
  <c r="AK2052" i="1"/>
  <c r="AK2276" i="1"/>
  <c r="AK2388" i="1"/>
  <c r="AL4302" i="1"/>
  <c r="AK4374" i="1"/>
  <c r="AK2045" i="1"/>
  <c r="X1112" i="1"/>
  <c r="X2045" i="1"/>
  <c r="X2677" i="1"/>
  <c r="AK4302" i="1"/>
  <c r="AL4356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0" i="1"/>
  <c r="AL4341" i="1"/>
  <c r="AL4370" i="1"/>
  <c r="AK4341" i="1"/>
  <c r="AK4370" i="1"/>
  <c r="X4295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3" i="1"/>
  <c r="AK1299" i="1"/>
  <c r="X1417" i="1"/>
  <c r="AK4373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4" i="1"/>
  <c r="AK1092" i="1"/>
  <c r="X1353" i="1"/>
  <c r="X2317" i="1"/>
  <c r="X4340" i="1"/>
  <c r="AK698" i="1"/>
  <c r="AK2592" i="1"/>
  <c r="AK1353" i="1"/>
  <c r="AK2317" i="1"/>
  <c r="X2359" i="1"/>
  <c r="AL4294" i="1"/>
  <c r="X4369" i="1"/>
  <c r="X585" i="1"/>
  <c r="X1270" i="1"/>
  <c r="AK2057" i="1"/>
  <c r="X2114" i="1"/>
  <c r="X2144" i="1"/>
  <c r="AK2461" i="1"/>
  <c r="AL4348" i="1"/>
  <c r="X2461" i="1"/>
  <c r="X234" i="1"/>
  <c r="X1622" i="1"/>
  <c r="AK2359" i="1"/>
  <c r="X2390" i="1"/>
  <c r="X4348" i="1"/>
  <c r="AK585" i="1"/>
  <c r="AK1270" i="1"/>
  <c r="AK1803" i="1"/>
  <c r="AK2114" i="1"/>
  <c r="AK2144" i="1"/>
  <c r="AK2999" i="1"/>
  <c r="AL4369" i="1"/>
  <c r="AK1622" i="1"/>
  <c r="AK2390" i="1"/>
  <c r="AK389" i="1"/>
  <c r="AL4340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5" i="1"/>
  <c r="X4354" i="1"/>
  <c r="X4183" i="1"/>
  <c r="X1281" i="1"/>
  <c r="AK1281" i="1"/>
  <c r="X660" i="1"/>
  <c r="X4170" i="1"/>
  <c r="X472" i="1"/>
  <c r="AK472" i="1"/>
  <c r="X480" i="1"/>
  <c r="X612" i="1"/>
  <c r="X1119" i="1"/>
  <c r="X4182" i="1"/>
  <c r="AK1119" i="1"/>
  <c r="AK4182" i="1"/>
  <c r="AK1113" i="1"/>
  <c r="AL1113" i="1"/>
  <c r="AL4355" i="1"/>
  <c r="AK4183" i="1"/>
  <c r="AL4354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9" i="1"/>
  <c r="AK4170" i="1"/>
  <c r="X4389" i="1"/>
  <c r="AL989" i="1"/>
  <c r="AK989" i="1"/>
  <c r="X89" i="1"/>
  <c r="X420" i="1"/>
  <c r="AL89" i="1"/>
  <c r="AK420" i="1"/>
  <c r="X4324" i="1"/>
  <c r="X3858" i="1"/>
  <c r="AK3858" i="1"/>
  <c r="X1439" i="1"/>
  <c r="X4406" i="1"/>
  <c r="AK1439" i="1"/>
  <c r="X4311" i="1"/>
  <c r="X945" i="1"/>
  <c r="AK2911" i="1"/>
  <c r="X2557" i="1"/>
  <c r="X4310" i="1"/>
  <c r="AK4311" i="1"/>
  <c r="AK4310" i="1"/>
  <c r="AK4405" i="1"/>
  <c r="AL3683" i="1"/>
  <c r="X4304" i="1"/>
  <c r="AL4304" i="1"/>
  <c r="AL4406" i="1"/>
  <c r="AK4324" i="1"/>
  <c r="AL4323" i="1"/>
  <c r="AK4323" i="1"/>
  <c r="AK2557" i="1"/>
  <c r="AL2911" i="1"/>
  <c r="X4415" i="1"/>
  <c r="AK4094" i="1"/>
  <c r="X3683" i="1"/>
  <c r="AL4415" i="1"/>
  <c r="AL4094" i="1"/>
  <c r="AK2007" i="1"/>
  <c r="AL2866" i="1"/>
  <c r="X4432" i="1"/>
  <c r="AL4432" i="1"/>
  <c r="AL3351" i="1"/>
  <c r="AK3351" i="1"/>
  <c r="X3874" i="1"/>
  <c r="X2864" i="1"/>
  <c r="X1600" i="1"/>
  <c r="AL2864" i="1"/>
  <c r="AK508" i="1"/>
  <c r="AK1600" i="1"/>
  <c r="AK3354" i="1"/>
  <c r="X4405" i="1"/>
  <c r="X508" i="1"/>
  <c r="AK4433" i="1"/>
  <c r="AK3874" i="1"/>
  <c r="AL4433" i="1"/>
  <c r="AL4404" i="1"/>
  <c r="AL4305" i="1"/>
  <c r="X1280" i="1"/>
  <c r="AK774" i="1"/>
  <c r="X4305" i="1"/>
  <c r="X4404" i="1"/>
  <c r="AL4413" i="1"/>
  <c r="AL774" i="1"/>
  <c r="X4413" i="1"/>
  <c r="X1003" i="1"/>
  <c r="AL4422" i="1"/>
  <c r="X4431" i="1"/>
  <c r="AL4431" i="1"/>
  <c r="X4424" i="1"/>
  <c r="AK1472" i="1"/>
  <c r="AL4424" i="1"/>
  <c r="AK3129" i="1"/>
  <c r="AK2688" i="1"/>
  <c r="X2867" i="1"/>
  <c r="AL1472" i="1"/>
  <c r="AL319" i="1"/>
  <c r="AL3129" i="1"/>
  <c r="X173" i="1"/>
  <c r="AL173" i="1"/>
  <c r="X319" i="1"/>
  <c r="X2295" i="1"/>
  <c r="X4425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5" i="1"/>
  <c r="X3637" i="1"/>
  <c r="X3131" i="1"/>
  <c r="AK3637" i="1"/>
  <c r="AK3131" i="1"/>
  <c r="AL4291" i="1"/>
  <c r="AK4291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7" i="1"/>
  <c r="X3218" i="1"/>
  <c r="X4258" i="1"/>
  <c r="X3366" i="1"/>
  <c r="AL3366" i="1"/>
  <c r="AL4258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7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8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7" i="1"/>
  <c r="AL4207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70" i="1"/>
  <c r="AG4270" i="1"/>
  <c r="AK4062" i="1"/>
  <c r="AK4248" i="1"/>
  <c r="AL4270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9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6" i="1"/>
  <c r="AK4196" i="1"/>
  <c r="X4196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5" i="1"/>
  <c r="AG4265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9" i="1"/>
  <c r="X4265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5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7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5" i="1"/>
  <c r="AL4225" i="1"/>
  <c r="AK4225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7" i="1"/>
  <c r="AL4197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5" i="1"/>
  <c r="AK4185" i="1"/>
  <c r="AG4185" i="1"/>
  <c r="X4185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3" i="1"/>
  <c r="AL4263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1" i="1"/>
  <c r="X4271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6" i="1"/>
  <c r="AL4226" i="1"/>
  <c r="AK4226" i="1"/>
  <c r="AL4255" i="1"/>
  <c r="AK4255" i="1"/>
  <c r="X4255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6" i="1"/>
  <c r="AL4186" i="1"/>
  <c r="AK4186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9" i="1"/>
  <c r="AK4239" i="1"/>
  <c r="X4239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6" i="1"/>
  <c r="AK4266" i="1"/>
  <c r="X4266" i="1"/>
  <c r="X3001" i="1"/>
  <c r="AL3001" i="1"/>
  <c r="AK3001" i="1"/>
  <c r="AK3424" i="1"/>
  <c r="X3424" i="1"/>
  <c r="X3991" i="1"/>
  <c r="AL3991" i="1"/>
  <c r="AK3991" i="1"/>
  <c r="AL4209" i="1"/>
  <c r="AK4209" i="1"/>
  <c r="AG4209" i="1"/>
  <c r="AG4247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7" i="1"/>
  <c r="AG4015" i="1"/>
  <c r="AL4015" i="1"/>
  <c r="X4038" i="1"/>
  <c r="AL4038" i="1"/>
  <c r="AK4038" i="1"/>
  <c r="X4178" i="1"/>
  <c r="AL4178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8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4" i="1"/>
  <c r="AK4264" i="1"/>
  <c r="AG4264" i="1"/>
  <c r="X4264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7" i="1"/>
  <c r="AK4177" i="1"/>
  <c r="AG4177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3" i="1"/>
  <c r="AK4223" i="1"/>
  <c r="X4223" i="1"/>
  <c r="X3786" i="1"/>
  <c r="X3794" i="1"/>
  <c r="AG3802" i="1"/>
  <c r="X3807" i="1"/>
  <c r="AL3873" i="1"/>
  <c r="AK3873" i="1"/>
  <c r="AL3925" i="1"/>
  <c r="AK3925" i="1"/>
  <c r="AL4180" i="1"/>
  <c r="AK4180" i="1"/>
  <c r="AG4180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80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3" i="1"/>
  <c r="AK4203" i="1"/>
  <c r="X4203" i="1"/>
  <c r="AL4208" i="1"/>
  <c r="AK4208" i="1"/>
  <c r="AG4208" i="1"/>
  <c r="X4208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9" i="1"/>
  <c r="AG4186" i="1"/>
  <c r="AG4226" i="1"/>
  <c r="AK4231" i="1"/>
  <c r="AG4248" i="1"/>
  <c r="AK4252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9" i="1"/>
  <c r="AK4207" i="1"/>
  <c r="AL4231" i="1"/>
  <c r="AL4252" i="1"/>
  <c r="AK4263" i="1"/>
  <c r="AL3891" i="1"/>
  <c r="AK3957" i="1"/>
  <c r="X3966" i="1"/>
  <c r="AL3967" i="1"/>
  <c r="AK3875" i="1"/>
  <c r="AK3903" i="1"/>
  <c r="AK3966" i="1"/>
  <c r="AK3979" i="1"/>
  <c r="AK3987" i="1"/>
  <c r="AG4271" i="1"/>
  <c r="AK4044" i="1"/>
  <c r="X4142" i="1"/>
  <c r="X4198" i="1"/>
  <c r="X4051" i="1"/>
  <c r="AK4271" i="1"/>
  <c r="X3891" i="1"/>
  <c r="X3967" i="1"/>
  <c r="X4116" i="1"/>
  <c r="X4162" i="1"/>
  <c r="X4179" i="1"/>
  <c r="X4207" i="1"/>
  <c r="X4135" i="1"/>
  <c r="AK4142" i="1"/>
  <c r="AK4198" i="1"/>
  <c r="X4263" i="1"/>
</calcChain>
</file>

<file path=xl/sharedStrings.xml><?xml version="1.0" encoding="utf-8"?>
<sst xmlns="http://schemas.openxmlformats.org/spreadsheetml/2006/main" count="56451" uniqueCount="3456">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</sst>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5" fillId="0" borderId="0" applyNumberFormat="0" applyFill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0" borderId="7" applyNumberFormat="0" applyFill="0" applyAlignment="0" applyProtection="0"/>
    <xf numFmtId="0" fontId="16" fillId="9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0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0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0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0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0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27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3" fillId="0" borderId="1" xfId="0" applyFont="1" applyBorder="1" applyAlignment="1">
      <alignment horizontal="left" vertical="top"/>
    </xf>
    <xf numFmtId="10" fontId="3" fillId="0" borderId="1" xfId="0" applyNumberFormat="1" applyFont="1" applyBorder="1" applyAlignment="1">
      <alignment horizontal="center" vertical="top"/>
    </xf>
    <xf numFmtId="10" fontId="4" fillId="0" borderId="0" xfId="0" applyNumberFormat="1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4" fontId="4" fillId="0" borderId="0" xfId="0" applyNumberFormat="1" applyFont="1"/>
    <xf numFmtId="1" fontId="3" fillId="0" borderId="1" xfId="0" applyNumberFormat="1" applyFont="1" applyBorder="1" applyAlignment="1">
      <alignment horizontal="center" vertical="top"/>
    </xf>
    <xf numFmtId="166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0" fontId="4" fillId="2" borderId="0" xfId="0" applyFont="1" applyFill="1"/>
    <xf numFmtId="10" fontId="4" fillId="2" borderId="0" xfId="0" applyNumberFormat="1" applyFont="1" applyFill="1"/>
    <xf numFmtId="10" fontId="4" fillId="3" borderId="0" xfId="0" applyNumberFormat="1" applyFont="1" applyFill="1"/>
    <xf numFmtId="10" fontId="4" fillId="0" borderId="0" xfId="0" quotePrefix="1" applyNumberFormat="1" applyFont="1"/>
    <xf numFmtId="164" fontId="4" fillId="0" borderId="0" xfId="41" applyNumberFormat="1" applyFont="1"/>
    <xf numFmtId="165" fontId="4" fillId="0" borderId="0" xfId="41" applyNumberFormat="1" applyFont="1"/>
    <xf numFmtId="0" fontId="4" fillId="0" borderId="0" xfId="41" applyFont="1"/>
    <xf numFmtId="0" fontId="4" fillId="0" borderId="0" xfId="43" applyFont="1"/>
    <xf numFmtId="164" fontId="4" fillId="0" borderId="0" xfId="43" applyNumberFormat="1" applyFont="1"/>
    <xf numFmtId="165" fontId="4" fillId="0" borderId="0" xfId="43" applyNumberFormat="1" applyFont="1"/>
  </cellXfs>
  <cellStyles count="63">
    <cellStyle name="20% - Cor1" xfId="18" builtinId="30" customBuiltin="1"/>
    <cellStyle name="20% - Cor1 2" xfId="44" xr:uid="{E1FB5F7F-5C5A-415E-9D77-E80A873B1849}"/>
    <cellStyle name="20% - Cor2" xfId="22" builtinId="34" customBuiltin="1"/>
    <cellStyle name="20% - Cor2 2" xfId="45" xr:uid="{7D41E263-55BD-458B-9945-64BE9E28C48C}"/>
    <cellStyle name="20% - Cor3" xfId="26" builtinId="38" customBuiltin="1"/>
    <cellStyle name="20% - Cor3 2" xfId="46" xr:uid="{19A3B827-0F6E-4E1A-8EFD-57D04FC17724}"/>
    <cellStyle name="20% - Cor4" xfId="30" builtinId="42" customBuiltin="1"/>
    <cellStyle name="20% - Cor4 2" xfId="47" xr:uid="{78181C26-292C-41FC-B15F-29B79A5F5FB4}"/>
    <cellStyle name="20% - Cor5" xfId="34" builtinId="46" customBuiltin="1"/>
    <cellStyle name="20% - Cor5 2" xfId="48" xr:uid="{061F8B37-9D8B-4FE9-8943-4ACB58A7BB6D}"/>
    <cellStyle name="20% - Cor6" xfId="38" builtinId="50" customBuiltin="1"/>
    <cellStyle name="20% - Cor6 2" xfId="49" xr:uid="{08B934EB-E65A-4CC5-80D3-2C16B1B7C127}"/>
    <cellStyle name="40% - Cor1" xfId="19" builtinId="31" customBuiltin="1"/>
    <cellStyle name="40% - Cor1 2" xfId="50" xr:uid="{8AFA9211-F63C-442E-A44D-4E7FC37DF752}"/>
    <cellStyle name="40% - Cor2" xfId="23" builtinId="35" customBuiltin="1"/>
    <cellStyle name="40% - Cor2 2" xfId="51" xr:uid="{B1C89A42-4E35-4CFB-B58F-B026E7336F88}"/>
    <cellStyle name="40% - Cor3" xfId="27" builtinId="39" customBuiltin="1"/>
    <cellStyle name="40% - Cor3 2" xfId="52" xr:uid="{8B6A9729-0F8D-4DF7-AA57-65A5C0568B33}"/>
    <cellStyle name="40% - Cor4" xfId="31" builtinId="43" customBuiltin="1"/>
    <cellStyle name="40% - Cor4 2" xfId="53" xr:uid="{A0763C18-6FED-428D-8F2A-CABD859F1742}"/>
    <cellStyle name="40% - Cor5" xfId="35" builtinId="47" customBuiltin="1"/>
    <cellStyle name="40% - Cor5 2" xfId="54" xr:uid="{D7BE0C5C-7C43-4F77-AE4B-394BCAB2FC3C}"/>
    <cellStyle name="40% - Cor6" xfId="39" builtinId="51" customBuiltin="1"/>
    <cellStyle name="40% - Cor6 2" xfId="55" xr:uid="{2BF4CBF2-1CC6-438D-A3ED-6A5F56F3253C}"/>
    <cellStyle name="60% - Cor1" xfId="20" builtinId="32" customBuiltin="1"/>
    <cellStyle name="60% - Cor1 2" xfId="56" xr:uid="{C636C8F8-576F-40D8-AFF5-4977E2E2C13D}"/>
    <cellStyle name="60% - Cor2" xfId="24" builtinId="36" customBuiltin="1"/>
    <cellStyle name="60% - Cor2 2" xfId="57" xr:uid="{B34E2AD2-DBC8-4A8F-8C24-1941B7DBF66A}"/>
    <cellStyle name="60% - Cor3" xfId="28" builtinId="40" customBuiltin="1"/>
    <cellStyle name="60% - Cor3 2" xfId="58" xr:uid="{779236A1-F935-4690-8F71-090405031367}"/>
    <cellStyle name="60% - Cor4" xfId="32" builtinId="44" customBuiltin="1"/>
    <cellStyle name="60% - Cor4 2" xfId="59" xr:uid="{7B0B0F73-C6BB-4D59-A58A-BAFDBB999DC8}"/>
    <cellStyle name="60% - Cor5" xfId="36" builtinId="48" customBuiltin="1"/>
    <cellStyle name="60% - Cor5 2" xfId="60" xr:uid="{2BCC25BB-AD8C-48F8-829A-93EF9522F5AA}"/>
    <cellStyle name="60% - Cor6" xfId="40" builtinId="52" customBuiltin="1"/>
    <cellStyle name="60% - Cor6 2" xfId="61" xr:uid="{E5643370-BF22-4B48-97CC-0D656751AD6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ta 2" xfId="42" xr:uid="{B10ED945-6AC2-457D-9920-F6FD2C78ABDB}"/>
    <cellStyle name="Nota 3" xfId="62" xr:uid="{AE69EB27-59CB-4130-B3F3-88980003F244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69"/>
  <sheetViews>
    <sheetView tabSelected="1" workbookViewId="0">
      <pane ySplit="1" topLeftCell="A676" activePane="bottomLeft" state="frozen"/>
      <selection pane="bottomLeft" activeCell="A2731" sqref="A2731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3277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3233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3233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3233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3233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3233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3233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3233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3233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3233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3233</v>
      </c>
      <c r="AA11" s="2" t="s">
        <v>72</v>
      </c>
      <c r="AB11" s="2" t="s">
        <v>69</v>
      </c>
      <c r="AC11" s="2" t="s">
        <v>3238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3233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3277</v>
      </c>
      <c r="M13" s="2" t="s">
        <v>81</v>
      </c>
      <c r="O13" s="2" t="s">
        <v>3204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3233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3277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3233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3277</v>
      </c>
      <c r="M15" s="2" t="s">
        <v>41</v>
      </c>
      <c r="O15" s="2" t="s">
        <v>3152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3233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3233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3233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3233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3178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3233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3233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3233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3233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3233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3233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3233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3233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3233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3233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3233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3233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3233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3233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3233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3233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3233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3233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3233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3277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3233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3233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3233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3233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3233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3233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3233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3120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3233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3120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3233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3120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3233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3120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3233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3120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3233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3120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3233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3120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3233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3120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3233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3120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3233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3120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3233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3120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3233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3120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3233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3120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3233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3120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3233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3120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3233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3120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3233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3120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3233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3120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3233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3120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3233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3120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3233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3120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3233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3120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3233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3120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3233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3120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3233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3120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3233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3120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3233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3120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3233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3120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3233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3120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3233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3120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3233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3120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3233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3120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3233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3120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3233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3120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3233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3120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3233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3120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3233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3233</v>
      </c>
      <c r="AA100" s="2" t="s">
        <v>72</v>
      </c>
      <c r="AB100" s="2" t="s">
        <v>69</v>
      </c>
      <c r="AC100" s="2" t="s">
        <v>3238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3233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3233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3233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3233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3233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3233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3233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3233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3233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3233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3233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3233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3180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3179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3233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3233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3233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3238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3233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3233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3121</v>
      </c>
      <c r="J124" s="2" t="s">
        <v>3122</v>
      </c>
      <c r="L124" s="2" t="s">
        <v>113</v>
      </c>
      <c r="M124" s="2" t="s">
        <v>40</v>
      </c>
      <c r="O124" s="2" t="s">
        <v>3123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3121</v>
      </c>
      <c r="J125" s="2" t="s">
        <v>3122</v>
      </c>
      <c r="L125" s="2" t="s">
        <v>113</v>
      </c>
      <c r="M125" s="2" t="s">
        <v>40</v>
      </c>
      <c r="O125" s="2" t="s">
        <v>3123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3121</v>
      </c>
      <c r="J126" s="2" t="s">
        <v>3122</v>
      </c>
      <c r="L126" s="2" t="s">
        <v>113</v>
      </c>
      <c r="M126" s="2" t="s">
        <v>40</v>
      </c>
      <c r="O126" s="2" t="s">
        <v>3123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3233</v>
      </c>
      <c r="AA127" s="2" t="s">
        <v>72</v>
      </c>
      <c r="AB127" s="2" t="s">
        <v>69</v>
      </c>
      <c r="AC127" s="2" t="s">
        <v>3238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3233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3233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3233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3233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3233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3233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3233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3233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3233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3233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3233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3233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3233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3233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3233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3233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3233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3126</v>
      </c>
      <c r="K155" s="2">
        <v>917575485</v>
      </c>
      <c r="L155" s="2" t="s">
        <v>462</v>
      </c>
      <c r="M155" s="2" t="s">
        <v>41</v>
      </c>
      <c r="O155" s="2" t="s">
        <v>3128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3233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3126</v>
      </c>
      <c r="K156" s="2">
        <v>917575485</v>
      </c>
      <c r="L156" s="2" t="s">
        <v>462</v>
      </c>
      <c r="M156" s="2" t="s">
        <v>41</v>
      </c>
      <c r="O156" s="2" t="s">
        <v>3128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3233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3388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3233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3233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hidden="1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3233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hidden="1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3233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hidden="1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3233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3233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3233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3388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3233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3233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3388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3233</v>
      </c>
      <c r="AA173" s="2" t="s">
        <v>46</v>
      </c>
      <c r="AB173" s="2" t="s">
        <v>61</v>
      </c>
      <c r="AC173" s="2" t="s">
        <v>3339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3233</v>
      </c>
      <c r="AA174" s="2" t="s">
        <v>46</v>
      </c>
      <c r="AB174" s="2" t="s">
        <v>61</v>
      </c>
      <c r="AC174" s="2" t="s">
        <v>3339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2482</v>
      </c>
      <c r="J175" s="2" t="s">
        <v>3129</v>
      </c>
      <c r="K175" s="2">
        <v>965864665</v>
      </c>
      <c r="L175" s="2" t="s">
        <v>345</v>
      </c>
      <c r="M175" s="2" t="s">
        <v>81</v>
      </c>
      <c r="O175" s="2" t="s">
        <v>3130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3233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2482</v>
      </c>
      <c r="J176" s="2" t="s">
        <v>3129</v>
      </c>
      <c r="K176" s="2">
        <v>965864665</v>
      </c>
      <c r="L176" s="2" t="s">
        <v>345</v>
      </c>
      <c r="M176" s="2" t="s">
        <v>81</v>
      </c>
      <c r="O176" s="2" t="s">
        <v>3130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3233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3135</v>
      </c>
      <c r="K181" s="2">
        <v>962555043</v>
      </c>
      <c r="L181" s="2" t="s">
        <v>345</v>
      </c>
      <c r="M181" s="2" t="s">
        <v>40</v>
      </c>
      <c r="O181" s="2" t="s">
        <v>3136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3135</v>
      </c>
      <c r="K182" s="2">
        <v>962555043</v>
      </c>
      <c r="L182" s="2" t="s">
        <v>345</v>
      </c>
      <c r="M182" s="2" t="s">
        <v>40</v>
      </c>
      <c r="O182" s="2" t="s">
        <v>3136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3314</v>
      </c>
      <c r="D183" s="2" t="s">
        <v>3337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hidden="1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3233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hidden="1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3233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hidden="1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3233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hidden="1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3233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hidden="1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3233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3233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3233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hidden="1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3233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3233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hidden="1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3182</v>
      </c>
      <c r="K195" s="2">
        <v>911577458</v>
      </c>
      <c r="L195" s="2" t="s">
        <v>178</v>
      </c>
      <c r="M195" s="2" t="s">
        <v>41</v>
      </c>
      <c r="O195" s="2" t="s">
        <v>3183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3233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hidden="1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3182</v>
      </c>
      <c r="K196" s="2">
        <v>911577458</v>
      </c>
      <c r="L196" s="2" t="s">
        <v>178</v>
      </c>
      <c r="M196" s="2" t="s">
        <v>41</v>
      </c>
      <c r="O196" s="2" t="s">
        <v>3183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3233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3187</v>
      </c>
      <c r="L197" s="2" t="s">
        <v>134</v>
      </c>
      <c r="M197" s="2" t="s">
        <v>40</v>
      </c>
      <c r="O197" s="2" t="s">
        <v>3188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3233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3233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hidden="1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3233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hidden="1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3233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hidden="1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3233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hidden="1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3233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hidden="1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3233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hidden="1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3233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3388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3314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si="28"/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1500</v>
      </c>
      <c r="AL215" s="5">
        <f t="shared" si="24"/>
        <v>0.25</v>
      </c>
    </row>
    <row r="216" spans="1:38" hidden="1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3233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3233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3233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3233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hidden="1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3233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3139</v>
      </c>
      <c r="L222" s="2" t="s">
        <v>178</v>
      </c>
      <c r="M222" s="2" t="s">
        <v>41</v>
      </c>
      <c r="O222" s="2" t="s">
        <v>3138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3233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3139</v>
      </c>
      <c r="L223" s="2" t="s">
        <v>178</v>
      </c>
      <c r="M223" s="2" t="s">
        <v>41</v>
      </c>
      <c r="O223" s="2" t="s">
        <v>3138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3233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3139</v>
      </c>
      <c r="L224" s="2" t="s">
        <v>178</v>
      </c>
      <c r="M224" s="2" t="s">
        <v>41</v>
      </c>
      <c r="O224" s="2" t="s">
        <v>3138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3233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hidden="1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3233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hidden="1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3233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hidden="1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3233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hidden="1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3233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hidden="1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3140</v>
      </c>
      <c r="L229" s="2" t="s">
        <v>178</v>
      </c>
      <c r="M229" s="2" t="s">
        <v>41</v>
      </c>
      <c r="O229" s="2" t="s">
        <v>3141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3233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hidden="1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3233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hidden="1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3233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hidden="1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3233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3190</v>
      </c>
      <c r="J239" s="2" t="s">
        <v>3191</v>
      </c>
      <c r="L239" s="2" t="s">
        <v>202</v>
      </c>
      <c r="M239" s="2" t="s">
        <v>41</v>
      </c>
      <c r="O239" s="2" t="s">
        <v>3192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3233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3190</v>
      </c>
      <c r="J240" s="2" t="s">
        <v>3191</v>
      </c>
      <c r="L240" s="2" t="s">
        <v>202</v>
      </c>
      <c r="M240" s="2" t="s">
        <v>41</v>
      </c>
      <c r="O240" s="2" t="s">
        <v>3192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3233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3233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3233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3233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3197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3233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3233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3233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0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5"/>
        <v>0</v>
      </c>
      <c r="AJ247" s="2">
        <f t="shared" si="26"/>
        <v>0</v>
      </c>
      <c r="AK247" s="2">
        <f t="shared" si="27"/>
        <v>25.356000000000002</v>
      </c>
      <c r="AL247" s="5">
        <f t="shared" si="29"/>
        <v>0.5090544067456334</v>
      </c>
    </row>
    <row r="248" spans="1:38" hidden="1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3233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3233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3233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3233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hidden="1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3233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3233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3233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3233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3233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3193</v>
      </c>
      <c r="L262" s="2" t="s">
        <v>340</v>
      </c>
      <c r="M262" s="2" t="s">
        <v>40</v>
      </c>
      <c r="O262" s="2" t="s">
        <v>3194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3193</v>
      </c>
      <c r="L263" s="2" t="s">
        <v>340</v>
      </c>
      <c r="M263" s="2" t="s">
        <v>40</v>
      </c>
      <c r="O263" s="2" t="s">
        <v>3195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hidden="1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3233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hidden="1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3233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3233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3233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hidden="1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3233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hidden="1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3233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hidden="1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3233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hidden="1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3233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hidden="1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3233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hidden="1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3233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3233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3233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hidden="1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3233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hidden="1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3233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hidden="1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3233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hidden="1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3233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hidden="1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3233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hidden="1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3233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hidden="1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3233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hidden="1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3233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3233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hidden="1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3233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3233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3233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hidden="1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3233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3233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3233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3233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3233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3233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3233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3446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3233</v>
      </c>
      <c r="AA302" s="2" t="s">
        <v>46</v>
      </c>
      <c r="AB302" s="2" t="s">
        <v>61</v>
      </c>
      <c r="AC302" s="2" t="s">
        <v>3339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hidden="1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3233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hidden="1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3233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3233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3233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3233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3233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3190</v>
      </c>
      <c r="J312" s="2" t="s">
        <v>3245</v>
      </c>
      <c r="K312" s="2">
        <v>965347433</v>
      </c>
      <c r="L312" s="2" t="s">
        <v>202</v>
      </c>
      <c r="M312" s="2" t="s">
        <v>41</v>
      </c>
      <c r="O312" s="2" t="s">
        <v>3246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3233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3190</v>
      </c>
      <c r="J313" s="2" t="s">
        <v>3245</v>
      </c>
      <c r="K313" s="2">
        <v>965347433</v>
      </c>
      <c r="L313" s="2" t="s">
        <v>202</v>
      </c>
      <c r="M313" s="2" t="s">
        <v>41</v>
      </c>
      <c r="O313" s="2" t="s">
        <v>3246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3233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3233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3233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3314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3314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3314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3314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3314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649</v>
      </c>
      <c r="P324" s="2" t="s">
        <v>3181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3181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3233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3233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3233</v>
      </c>
      <c r="AA327" s="2" t="s">
        <v>76</v>
      </c>
      <c r="AB327" s="2" t="s">
        <v>77</v>
      </c>
      <c r="AC327" s="2" t="s">
        <v>659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3233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hidden="1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3233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3233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3233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3233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1628</v>
      </c>
      <c r="J336" s="2" t="s">
        <v>3176</v>
      </c>
      <c r="L336" s="2" t="s">
        <v>340</v>
      </c>
      <c r="M336" s="2" t="s">
        <v>40</v>
      </c>
      <c r="O336" s="2" t="s">
        <v>3177</v>
      </c>
      <c r="P336" s="2" t="s">
        <v>1613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1613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3233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3233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3233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3233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C341" s="2" t="s">
        <v>3410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hidden="1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3196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3233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3233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3233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3233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3233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3233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3233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3233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3233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3233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3233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3233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3233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3233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hidden="1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8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1"/>
        <v>0</v>
      </c>
      <c r="AJ362" s="2">
        <f t="shared" si="42"/>
        <v>0</v>
      </c>
      <c r="AK362" s="2">
        <f t="shared" si="43"/>
        <v>355.75549999999998</v>
      </c>
      <c r="AL362" s="5">
        <f t="shared" si="49"/>
        <v>0.22234718749999999</v>
      </c>
    </row>
    <row r="363" spans="1:38" hidden="1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hidden="1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hidden="1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hidden="1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hidden="1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hidden="1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hidden="1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3233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3233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3233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3233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hidden="1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3233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hidden="1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3233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3233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3233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3233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3233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hidden="1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hidden="1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3233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3233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hidden="1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hidden="1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hidden="1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hidden="1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hidden="1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hidden="1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3233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hidden="1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3233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hidden="1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hidden="1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hidden="1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hidden="1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3388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hidden="1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Z399" s="2" t="s">
        <v>118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hidden="1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hidden="1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hidden="1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3233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hidden="1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3233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hidden="1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3233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hidden="1" x14ac:dyDescent="0.2">
      <c r="A405" s="2">
        <v>2025</v>
      </c>
      <c r="B405" s="2">
        <v>2</v>
      </c>
      <c r="C405" s="2" t="s">
        <v>3315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3233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hidden="1" x14ac:dyDescent="0.2">
      <c r="A406" s="2">
        <v>2025</v>
      </c>
      <c r="B406" s="2">
        <v>2</v>
      </c>
      <c r="C406" s="2" t="s">
        <v>3315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3233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3233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3233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hidden="1" x14ac:dyDescent="0.2">
      <c r="A409" s="2">
        <v>2025</v>
      </c>
      <c r="B409" s="2">
        <v>2</v>
      </c>
      <c r="D409" s="2" t="s">
        <v>766</v>
      </c>
      <c r="E409" s="2" t="s">
        <v>38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3233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hidden="1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3233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hidden="1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3233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hidden="1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3233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hidden="1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3233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hidden="1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3233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hidden="1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3233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hidden="1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hidden="1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3233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hidden="1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3233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hidden="1" x14ac:dyDescent="0.2">
      <c r="A419" s="2">
        <v>2025</v>
      </c>
      <c r="B419" s="2">
        <v>2</v>
      </c>
      <c r="C419" s="2" t="s">
        <v>3311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3379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hidden="1" x14ac:dyDescent="0.2">
      <c r="A420" s="2">
        <v>2025</v>
      </c>
      <c r="B420" s="2">
        <v>2</v>
      </c>
      <c r="C420" s="2" t="s">
        <v>3311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3379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3233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hidden="1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hidden="1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hidden="1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hidden="1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hidden="1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3233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hidden="1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3233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hidden="1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hidden="1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3233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hidden="1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3233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hidden="1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3233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hidden="1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hidden="1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hidden="1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hidden="1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hidden="1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hidden="1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hidden="1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3233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hidden="1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3233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hidden="1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3233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hidden="1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3233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hidden="1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3233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hidden="1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3233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hidden="1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3233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hidden="1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3233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hidden="1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hidden="1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hidden="1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hidden="1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54"/>
        <v>0.25000000000000006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813.00750000000016</v>
      </c>
      <c r="AL448" s="5">
        <f t="shared" si="55"/>
        <v>0.25000000000000006</v>
      </c>
    </row>
    <row r="449" spans="1:38" hidden="1" x14ac:dyDescent="0.2">
      <c r="A449" s="2">
        <v>2025</v>
      </c>
      <c r="B449" s="2">
        <v>2</v>
      </c>
      <c r="D449" s="2" t="s">
        <v>823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hidden="1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3233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hidden="1" x14ac:dyDescent="0.2">
      <c r="A451" s="2">
        <v>2025</v>
      </c>
      <c r="B451" s="2">
        <v>2</v>
      </c>
      <c r="D451" s="2" t="s">
        <v>823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3233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hidden="1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3233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hidden="1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3233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hidden="1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hidden="1" x14ac:dyDescent="0.2">
      <c r="A455" s="2">
        <v>2025</v>
      </c>
      <c r="B455" s="2">
        <v>2</v>
      </c>
      <c r="C455" s="2" t="s">
        <v>3315</v>
      </c>
      <c r="D455" s="2" t="s">
        <v>3313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3312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3311</v>
      </c>
      <c r="D456" s="2" t="s">
        <v>3310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3309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hidden="1" x14ac:dyDescent="0.2">
      <c r="A457" s="2">
        <v>2025</v>
      </c>
      <c r="B457" s="2">
        <v>2</v>
      </c>
      <c r="C457" s="2" t="s">
        <v>3315</v>
      </c>
      <c r="D457" s="2" t="s">
        <v>3313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3312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hidden="1" x14ac:dyDescent="0.2">
      <c r="A458" s="2">
        <v>2025</v>
      </c>
      <c r="B458" s="2">
        <v>2</v>
      </c>
      <c r="C458" s="2" t="s">
        <v>3315</v>
      </c>
      <c r="D458" s="2" t="s">
        <v>3316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hidden="1" x14ac:dyDescent="0.2">
      <c r="A459" s="2">
        <v>2025</v>
      </c>
      <c r="B459" s="2">
        <v>2</v>
      </c>
      <c r="C459" s="2" t="s">
        <v>3311</v>
      </c>
      <c r="D459" s="2" t="s">
        <v>3310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3309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hidden="1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hidden="1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hidden="1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3388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hidden="1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3233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hidden="1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3233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hidden="1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3233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hidden="1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3233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hidden="1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3233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hidden="1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hidden="1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hidden="1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3388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hidden="1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hidden="1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3233</v>
      </c>
      <c r="AA472" s="2" t="s">
        <v>156</v>
      </c>
      <c r="AB472" s="2" t="s">
        <v>3390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hidden="1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3233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hidden="1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3233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hidden="1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3233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hidden="1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3233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hidden="1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3233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hidden="1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hidden="1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3233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hidden="1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3233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hidden="1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3233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hidden="1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3233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hidden="1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3233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hidden="1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3233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hidden="1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3233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hidden="1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hidden="1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hidden="1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hidden="1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hidden="1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3233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hidden="1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3233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hidden="1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3233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hidden="1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3233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hidden="1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3233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hidden="1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3233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hidden="1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hidden="1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3233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hidden="1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3233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hidden="1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3233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hidden="1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3233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hidden="1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3233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hidden="1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3233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hidden="1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3233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hidden="1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3233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hidden="1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3233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hidden="1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3233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hidden="1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3233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hidden="1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hidden="1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3233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hidden="1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3233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hidden="1" x14ac:dyDescent="0.2">
      <c r="A512" s="2">
        <v>2025</v>
      </c>
      <c r="B512" s="2">
        <v>2</v>
      </c>
      <c r="D512" s="2" t="s">
        <v>899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3233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hidden="1" x14ac:dyDescent="0.2">
      <c r="A513" s="2">
        <v>2025</v>
      </c>
      <c r="B513" s="2">
        <v>2</v>
      </c>
      <c r="D513" s="2" t="s">
        <v>899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3233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hidden="1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hidden="1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3388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hidden="1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3233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hidden="1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3233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hidden="1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3233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hidden="1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hidden="1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62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225</v>
      </c>
      <c r="AL520" s="5">
        <f t="shared" si="61"/>
        <v>0.25</v>
      </c>
    </row>
    <row r="521" spans="1:38" hidden="1" x14ac:dyDescent="0.2">
      <c r="A521" s="2">
        <v>2025</v>
      </c>
      <c r="B521" s="2">
        <v>2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3233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hidden="1" x14ac:dyDescent="0.2">
      <c r="A522" s="2">
        <v>2025</v>
      </c>
      <c r="B522" s="2">
        <v>2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3233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hidden="1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hidden="1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hidden="1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hidden="1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3233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hidden="1" x14ac:dyDescent="0.2">
      <c r="A527" s="2">
        <v>2025</v>
      </c>
      <c r="B527" s="2">
        <v>2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3233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hidden="1" x14ac:dyDescent="0.2">
      <c r="A528" s="2">
        <v>2025</v>
      </c>
      <c r="B528" s="2">
        <v>2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3233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hidden="1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3233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3233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hidden="1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hidden="1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hidden="1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3233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hidden="1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3233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hidden="1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3233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hidden="1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3233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hidden="1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3233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hidden="1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3233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hidden="1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3233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hidden="1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hidden="1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3233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hidden="1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3233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hidden="1" x14ac:dyDescent="0.2">
      <c r="A544" s="2">
        <v>2025</v>
      </c>
      <c r="B544" s="2">
        <v>3</v>
      </c>
      <c r="D544" s="2" t="s">
        <v>941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3233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hidden="1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3233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hidden="1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3233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hidden="1" x14ac:dyDescent="0.2">
      <c r="A547" s="2">
        <v>2025</v>
      </c>
      <c r="B547" s="2">
        <v>3</v>
      </c>
      <c r="D547" s="2" t="s">
        <v>943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3233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hidden="1" x14ac:dyDescent="0.2">
      <c r="A548" s="2">
        <v>2025</v>
      </c>
      <c r="B548" s="2">
        <v>3</v>
      </c>
      <c r="D548" s="2" t="s">
        <v>943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3233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hidden="1" x14ac:dyDescent="0.2">
      <c r="A549" s="2">
        <v>2025</v>
      </c>
      <c r="B549" s="2">
        <v>3</v>
      </c>
      <c r="D549" s="2" t="s">
        <v>943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3233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hidden="1" x14ac:dyDescent="0.2">
      <c r="A550" s="2">
        <v>2025</v>
      </c>
      <c r="B550" s="2">
        <v>3</v>
      </c>
      <c r="D550" s="2" t="s">
        <v>943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3233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hidden="1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3233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hidden="1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3233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hidden="1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3233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hidden="1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3233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hidden="1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3233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hidden="1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3233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hidden="1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hidden="1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hidden="1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3233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hidden="1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3233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hidden="1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69"/>
        <v>0.58248333333333335</v>
      </c>
      <c r="Z561" s="2" t="s">
        <v>3233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3.4948999999999999</v>
      </c>
      <c r="AL561" s="5">
        <f t="shared" si="70"/>
        <v>0.58248333333333335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3233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3233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hidden="1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4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63"/>
        <v>0</v>
      </c>
      <c r="AJ566" s="2">
        <f t="shared" si="64"/>
        <v>0</v>
      </c>
      <c r="AK566" s="2">
        <f t="shared" si="65"/>
        <v>711.51099999999997</v>
      </c>
      <c r="AL566" s="5">
        <f t="shared" si="70"/>
        <v>0.22234718749999999</v>
      </c>
    </row>
    <row r="567" spans="1:38" hidden="1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hidden="1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hidden="1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hidden="1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hidden="1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hidden="1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hidden="1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hidden="1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3233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hidden="1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3233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hidden="1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3233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3233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3233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3233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3233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hidden="1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hidden="1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hidden="1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hidden="1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hidden="1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3233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hidden="1" x14ac:dyDescent="0.2">
      <c r="A588" s="2">
        <v>2025</v>
      </c>
      <c r="B588" s="2">
        <v>3</v>
      </c>
      <c r="D588" s="2" t="s">
        <v>982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3233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hidden="1" x14ac:dyDescent="0.2">
      <c r="A589" s="2">
        <v>2025</v>
      </c>
      <c r="B589" s="2">
        <v>3</v>
      </c>
      <c r="D589" s="2" t="s">
        <v>982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3233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hidden="1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3233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hidden="1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3233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hidden="1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3233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3233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hidden="1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1224.5</v>
      </c>
      <c r="AL595" s="5">
        <f t="shared" si="79"/>
        <v>0.25</v>
      </c>
    </row>
    <row r="596" spans="1:38" hidden="1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hidden="1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hidden="1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hidden="1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3388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hidden="1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3233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hidden="1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3233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hidden="1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3233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3233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3233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hidden="1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hidden="1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hidden="1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1006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hidden="1" x14ac:dyDescent="0.2">
      <c r="A608" s="2">
        <v>2025</v>
      </c>
      <c r="B608" s="2">
        <v>3</v>
      </c>
      <c r="D608" s="2" t="s">
        <v>766</v>
      </c>
      <c r="E608" s="2" t="s">
        <v>38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3233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hidden="1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3233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hidden="1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3233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hidden="1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hidden="1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3233</v>
      </c>
      <c r="AA612" s="2" t="s">
        <v>46</v>
      </c>
      <c r="AB612" s="2" t="s">
        <v>61</v>
      </c>
      <c r="AC612" s="2" t="s">
        <v>3339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hidden="1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hidden="1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hidden="1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hidden="1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3233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hidden="1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3233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hidden="1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hidden="1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hidden="1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hidden="1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3388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hidden="1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hidden="1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hidden="1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hidden="1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3233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hidden="1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2544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3233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hidden="1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3233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hidden="1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3233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hidden="1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3233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hidden="1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3233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hidden="1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3233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hidden="1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3233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hidden="1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hidden="1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hidden="1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3233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hidden="1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3233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hidden="1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hidden="1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3233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hidden="1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hidden="1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hidden="1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3233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hidden="1" x14ac:dyDescent="0.2">
      <c r="A643" s="2">
        <v>2025</v>
      </c>
      <c r="B643" s="2">
        <v>3</v>
      </c>
      <c r="D643" s="2" t="s">
        <v>823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3233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hidden="1" x14ac:dyDescent="0.2">
      <c r="A644" s="2">
        <v>2025</v>
      </c>
      <c r="B644" s="2">
        <v>3</v>
      </c>
      <c r="D644" s="2" t="s">
        <v>823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3233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hidden="1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Z645" s="2" t="s">
        <v>118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hidden="1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hidden="1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hidden="1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hidden="1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hidden="1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3233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3233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3233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hidden="1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3233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hidden="1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3233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hidden="1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3233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hidden="1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3233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hidden="1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3153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3233</v>
      </c>
      <c r="AA657" s="2" t="s">
        <v>1043</v>
      </c>
      <c r="AB657" s="2" t="s">
        <v>1044</v>
      </c>
      <c r="AC657" s="2" t="s">
        <v>1040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hidden="1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3233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3233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3233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hidden="1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3233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hidden="1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hidden="1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hidden="1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3233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hidden="1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3233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hidden="1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3233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hidden="1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3233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hidden="1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3233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hidden="1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3233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hidden="1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3233</v>
      </c>
      <c r="AA670" s="2" t="s">
        <v>72</v>
      </c>
      <c r="AB670" s="2" t="s">
        <v>1605</v>
      </c>
      <c r="AC670" s="2" t="s">
        <v>1605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hidden="1" x14ac:dyDescent="0.2">
      <c r="A671" s="2">
        <v>2025</v>
      </c>
      <c r="B671" s="2">
        <v>3</v>
      </c>
      <c r="D671" s="2" t="s">
        <v>1067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3233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hidden="1" x14ac:dyDescent="0.2">
      <c r="A672" s="2">
        <v>2025</v>
      </c>
      <c r="B672" s="2">
        <v>3</v>
      </c>
      <c r="D672" s="2" t="s">
        <v>1067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3233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hidden="1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2697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3233</v>
      </c>
      <c r="AA673" s="2" t="s">
        <v>3391</v>
      </c>
      <c r="AB673" s="2" t="s">
        <v>3392</v>
      </c>
      <c r="AC673" s="2" t="s">
        <v>3393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hidden="1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3233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hidden="1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3233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1559</v>
      </c>
      <c r="J676" s="2" t="s">
        <v>1830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3233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1559</v>
      </c>
      <c r="J677" s="2" t="s">
        <v>1830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3233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hidden="1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3233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hidden="1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3233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hidden="1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3233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hidden="1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3233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hidden="1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3233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hidden="1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3233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hidden="1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3233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hidden="1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hidden="1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hidden="1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3233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hidden="1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3233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hidden="1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hidden="1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hidden="1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3233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hidden="1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2752</v>
      </c>
      <c r="AB692" s="2" t="s">
        <v>2753</v>
      </c>
      <c r="AC692" s="2" t="s">
        <v>1196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hidden="1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Z693" s="2" t="s">
        <v>105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hidden="1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hidden="1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3233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hidden="1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3233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hidden="1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hidden="1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hidden="1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hidden="1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hidden="1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hidden="1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hidden="1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hidden="1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3233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hidden="1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3233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hidden="1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3233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hidden="1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3233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hidden="1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3233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hidden="1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3233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hidden="1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3233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hidden="1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3233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hidden="1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3233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hidden="1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3233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hidden="1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3233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hidden="1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hidden="1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3233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hidden="1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hidden="1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3233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hidden="1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hidden="1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hidden="1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3233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hidden="1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hidden="1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3388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hidden="1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3233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hidden="1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3233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hidden="1" x14ac:dyDescent="0.2">
      <c r="A727" s="2">
        <v>2025</v>
      </c>
      <c r="B727" s="2">
        <v>3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3252</v>
      </c>
      <c r="J727" s="2" t="s">
        <v>3253</v>
      </c>
      <c r="K727" s="2">
        <v>96179412</v>
      </c>
      <c r="L727" s="2" t="s">
        <v>462</v>
      </c>
      <c r="M727" s="2" t="s">
        <v>40</v>
      </c>
      <c r="O727" s="2" t="s">
        <v>3255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hidden="1" x14ac:dyDescent="0.2">
      <c r="A728" s="2">
        <v>2025</v>
      </c>
      <c r="B728" s="2">
        <v>3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3252</v>
      </c>
      <c r="J728" s="2" t="s">
        <v>3253</v>
      </c>
      <c r="K728" s="2">
        <v>96179412</v>
      </c>
      <c r="L728" s="2" t="s">
        <v>462</v>
      </c>
      <c r="M728" s="2" t="s">
        <v>40</v>
      </c>
      <c r="O728" s="2" t="s">
        <v>3255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hidden="1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3233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hidden="1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3233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hidden="1" x14ac:dyDescent="0.2">
      <c r="A731" s="2">
        <v>2025</v>
      </c>
      <c r="B731" s="2">
        <v>3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3233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hidden="1" x14ac:dyDescent="0.2">
      <c r="A732" s="2">
        <v>2025</v>
      </c>
      <c r="B732" s="2">
        <v>3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3233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hidden="1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hidden="1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hidden="1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2300</v>
      </c>
      <c r="J735" s="2" t="s">
        <v>2301</v>
      </c>
      <c r="K735" s="2">
        <v>965790183</v>
      </c>
      <c r="L735" s="2" t="s">
        <v>178</v>
      </c>
      <c r="M735" s="2" t="s">
        <v>41</v>
      </c>
      <c r="O735" s="2" t="s">
        <v>3224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hidden="1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hidden="1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hidden="1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3233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3233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3233</v>
      </c>
      <c r="AA740" s="2" t="s">
        <v>46</v>
      </c>
      <c r="AB740" s="2" t="s">
        <v>61</v>
      </c>
      <c r="AC740" s="2" t="s">
        <v>3339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3233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3233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3233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3233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3233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3233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3233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3233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3233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3233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3233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3198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3233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3233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3233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3233</v>
      </c>
      <c r="AA756" s="2" t="s">
        <v>72</v>
      </c>
      <c r="AB756" s="2" t="s">
        <v>69</v>
      </c>
      <c r="AC756" s="2" t="s">
        <v>3238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3233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hidden="1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hidden="1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hidden="1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3388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hidden="1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3233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hidden="1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hidden="1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93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312.5</v>
      </c>
      <c r="AL767" s="5">
        <f t="shared" si="92"/>
        <v>0.25</v>
      </c>
    </row>
    <row r="768" spans="1:38" hidden="1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93"/>
        <v>1</v>
      </c>
      <c r="Z768" s="2" t="s">
        <v>118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hidden="1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1579</v>
      </c>
      <c r="AB769" s="2" t="s">
        <v>389</v>
      </c>
      <c r="AC769" s="2" t="s">
        <v>1330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hidden="1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1579</v>
      </c>
      <c r="AB770" s="2" t="s">
        <v>389</v>
      </c>
      <c r="AC770" s="2" t="s">
        <v>1330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hidden="1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3233</v>
      </c>
      <c r="AA772" s="2" t="s">
        <v>72</v>
      </c>
      <c r="AB772" s="2" t="s">
        <v>69</v>
      </c>
      <c r="AC772" s="2" t="s">
        <v>3238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hidden="1" x14ac:dyDescent="0.2">
      <c r="A773" s="2">
        <v>2025</v>
      </c>
      <c r="B773" s="2">
        <v>4</v>
      </c>
      <c r="C773" s="2" t="s">
        <v>3329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hidden="1" x14ac:dyDescent="0.2">
      <c r="A774" s="2">
        <v>2025</v>
      </c>
      <c r="B774" s="2">
        <v>4</v>
      </c>
      <c r="C774" s="2" t="s">
        <v>3329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hidden="1" x14ac:dyDescent="0.2">
      <c r="A775" s="2">
        <v>2025</v>
      </c>
      <c r="B775" s="2">
        <v>4</v>
      </c>
      <c r="C775" s="2" t="s">
        <v>3329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3233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hidden="1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3233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hidden="1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3233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hidden="1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3233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hidden="1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3233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hidden="1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3233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hidden="1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3233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hidden="1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3233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hidden="1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3233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3233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hidden="1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hidden="1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hidden="1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3233</v>
      </c>
      <c r="AA790" s="2" t="s">
        <v>72</v>
      </c>
      <c r="AB790" s="2" t="s">
        <v>69</v>
      </c>
      <c r="AC790" s="2" t="s">
        <v>3238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hidden="1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hidden="1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3233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hidden="1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3233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hidden="1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3388</v>
      </c>
      <c r="AF794" s="2">
        <f t="shared" si="96"/>
        <v>0</v>
      </c>
      <c r="AJ794" s="2">
        <f t="shared" si="97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3233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3233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hidden="1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3225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3233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hidden="1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3225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3233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hidden="1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hidden="1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3233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hidden="1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3233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hidden="1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3233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hidden="1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3233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hidden="1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3233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hidden="1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3233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hidden="1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3233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hidden="1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3233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hidden="1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3233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hidden="1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3233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hidden="1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3233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hidden="1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hidden="1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hidden="1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hidden="1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3233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hidden="1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3233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hidden="1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3233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hidden="1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3233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hidden="1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3233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hidden="1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3233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3233</v>
      </c>
      <c r="AA824" s="2" t="s">
        <v>76</v>
      </c>
      <c r="AB824" s="2" t="s">
        <v>77</v>
      </c>
      <c r="AC824" s="2" t="s">
        <v>659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3233</v>
      </c>
      <c r="AA825" s="2" t="s">
        <v>76</v>
      </c>
      <c r="AB825" s="2" t="s">
        <v>77</v>
      </c>
      <c r="AC825" s="2" t="s">
        <v>1040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3233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hidden="1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hidden="1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hidden="1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3233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hidden="1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3233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hidden="1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3233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hidden="1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3233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hidden="1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3233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3233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3233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hidden="1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hidden="1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hidden="1" x14ac:dyDescent="0.2">
      <c r="A838" s="2">
        <v>2025</v>
      </c>
      <c r="B838" s="2">
        <v>4</v>
      </c>
      <c r="C838" s="2" t="s">
        <v>3416</v>
      </c>
      <c r="D838" s="2" t="s">
        <v>3414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1579</v>
      </c>
      <c r="AB838" s="2" t="s">
        <v>389</v>
      </c>
      <c r="AC838" s="2" t="s">
        <v>1330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hidden="1" x14ac:dyDescent="0.2">
      <c r="A839" s="2">
        <v>2025</v>
      </c>
      <c r="B839" s="2">
        <v>4</v>
      </c>
      <c r="C839" s="2" t="s">
        <v>3416</v>
      </c>
      <c r="D839" s="2" t="s">
        <v>3414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1579</v>
      </c>
      <c r="AB839" s="2" t="s">
        <v>389</v>
      </c>
      <c r="AC839" s="2" t="s">
        <v>1330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hidden="1" x14ac:dyDescent="0.2">
      <c r="A840" s="2">
        <v>2025</v>
      </c>
      <c r="B840" s="2">
        <v>4</v>
      </c>
      <c r="C840" s="2" t="s">
        <v>3416</v>
      </c>
      <c r="D840" s="2" t="s">
        <v>3414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1579</v>
      </c>
      <c r="AB840" s="2" t="s">
        <v>389</v>
      </c>
      <c r="AC840" s="2" t="s">
        <v>1330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hidden="1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3233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hidden="1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3233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hidden="1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2544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3233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hidden="1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3233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hidden="1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3233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hidden="1" x14ac:dyDescent="0.2">
      <c r="A846" s="2">
        <v>2025</v>
      </c>
      <c r="B846" s="2">
        <v>4</v>
      </c>
      <c r="D846" s="2" t="s">
        <v>1241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3233</v>
      </c>
      <c r="AA846" s="2" t="s">
        <v>72</v>
      </c>
      <c r="AB846" s="2" t="s">
        <v>69</v>
      </c>
      <c r="AC846" s="2" t="s">
        <v>3238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hidden="1" x14ac:dyDescent="0.2">
      <c r="A847" s="2">
        <v>2025</v>
      </c>
      <c r="B847" s="2">
        <v>4</v>
      </c>
      <c r="D847" s="2" t="s">
        <v>1241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hidden="1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3226</v>
      </c>
      <c r="J848" s="2" t="s">
        <v>3227</v>
      </c>
      <c r="L848" s="2" t="s">
        <v>340</v>
      </c>
      <c r="M848" s="2" t="s">
        <v>40</v>
      </c>
      <c r="O848" s="2" t="s">
        <v>3228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hidden="1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3226</v>
      </c>
      <c r="J849" s="2" t="s">
        <v>3227</v>
      </c>
      <c r="L849" s="2" t="s">
        <v>340</v>
      </c>
      <c r="M849" s="2" t="s">
        <v>40</v>
      </c>
      <c r="O849" s="2" t="s">
        <v>3228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hidden="1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hidden="1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3233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hidden="1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3233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hidden="1" x14ac:dyDescent="0.2">
      <c r="A854" s="2">
        <v>2025</v>
      </c>
      <c r="B854" s="2">
        <v>4</v>
      </c>
      <c r="C854" s="2" t="s">
        <v>3318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3233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hidden="1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3233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hidden="1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3233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hidden="1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3233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hidden="1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3233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hidden="1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X859" s="5">
        <f t="shared" si="107"/>
        <v>1</v>
      </c>
      <c r="Z859" s="2" t="s">
        <v>118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hidden="1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hidden="1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hidden="1" x14ac:dyDescent="0.2">
      <c r="A862" s="2">
        <v>2025</v>
      </c>
      <c r="B862" s="2">
        <v>4</v>
      </c>
      <c r="D862" s="2" t="s">
        <v>1250</v>
      </c>
      <c r="P862" s="2" t="s">
        <v>73</v>
      </c>
      <c r="Q862" s="2" t="s">
        <v>1251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3233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hidden="1" x14ac:dyDescent="0.2">
      <c r="A863" s="2">
        <v>2025</v>
      </c>
      <c r="B863" s="2">
        <v>4</v>
      </c>
      <c r="D863" s="2" t="s">
        <v>1250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3233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hidden="1" x14ac:dyDescent="0.2">
      <c r="A864" s="2">
        <v>2025</v>
      </c>
      <c r="B864" s="2">
        <v>4</v>
      </c>
      <c r="D864" s="2" t="s">
        <v>1252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3388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hidden="1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1253</v>
      </c>
      <c r="R865" s="2" t="s">
        <v>1254</v>
      </c>
      <c r="S865" s="2">
        <v>1</v>
      </c>
      <c r="T865" s="2">
        <v>382.35</v>
      </c>
      <c r="X865" s="5">
        <f t="shared" si="107"/>
        <v>1</v>
      </c>
      <c r="Z865" s="2" t="s">
        <v>118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hidden="1" x14ac:dyDescent="0.2">
      <c r="A866" s="2">
        <v>2025</v>
      </c>
      <c r="B866" s="2">
        <v>4</v>
      </c>
      <c r="C866" s="2" t="s">
        <v>3318</v>
      </c>
      <c r="D866" s="2" t="s">
        <v>3317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hidden="1" x14ac:dyDescent="0.2">
      <c r="A867" s="2">
        <v>2025</v>
      </c>
      <c r="B867" s="2">
        <v>4</v>
      </c>
      <c r="C867" s="2" t="s">
        <v>3318</v>
      </c>
      <c r="D867" s="2" t="s">
        <v>3319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1255</v>
      </c>
      <c r="R867" s="2" t="s">
        <v>1256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hidden="1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1257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3233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hidden="1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1257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3233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hidden="1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1257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3233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hidden="1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3233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hidden="1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3233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hidden="1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3233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hidden="1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3233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hidden="1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3233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hidden="1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hidden="1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hidden="1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3388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hidden="1" x14ac:dyDescent="0.2">
      <c r="A879" s="2">
        <v>2025</v>
      </c>
      <c r="B879" s="2">
        <v>4</v>
      </c>
      <c r="D879" s="2" t="s">
        <v>1258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3233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hidden="1" x14ac:dyDescent="0.2">
      <c r="A880" s="2">
        <v>2025</v>
      </c>
      <c r="B880" s="2">
        <v>4</v>
      </c>
      <c r="D880" s="2" t="s">
        <v>1258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3233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hidden="1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hidden="1" x14ac:dyDescent="0.2">
      <c r="A882" s="2">
        <v>2025</v>
      </c>
      <c r="B882" s="2">
        <v>4</v>
      </c>
      <c r="D882" s="2" t="s">
        <v>1259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3233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hidden="1" x14ac:dyDescent="0.2">
      <c r="A883" s="2">
        <v>2025</v>
      </c>
      <c r="B883" s="2">
        <v>4</v>
      </c>
      <c r="D883" s="2" t="s">
        <v>1259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3233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hidden="1" x14ac:dyDescent="0.2">
      <c r="A884" s="2">
        <v>2025</v>
      </c>
      <c r="B884" s="2">
        <v>4</v>
      </c>
      <c r="D884" s="2" t="s">
        <v>1260</v>
      </c>
      <c r="P884" s="2" t="s">
        <v>115</v>
      </c>
      <c r="Q884" s="2" t="s">
        <v>1261</v>
      </c>
      <c r="R884" s="2" t="s">
        <v>1262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hidden="1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1263</v>
      </c>
      <c r="P885" s="2" t="s">
        <v>73</v>
      </c>
      <c r="Q885" s="2" t="s">
        <v>1264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3233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hidden="1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1263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hidden="1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1263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3233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hidden="1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3388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hidden="1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3140</v>
      </c>
      <c r="L889" s="2" t="s">
        <v>178</v>
      </c>
      <c r="M889" s="2" t="s">
        <v>41</v>
      </c>
      <c r="O889" s="2" t="s">
        <v>3142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3233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hidden="1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3140</v>
      </c>
      <c r="L890" s="2" t="s">
        <v>178</v>
      </c>
      <c r="M890" s="2" t="s">
        <v>41</v>
      </c>
      <c r="O890" s="2" t="s">
        <v>3142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3233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hidden="1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3233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hidden="1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3233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hidden="1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3233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hidden="1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3233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hidden="1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3233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hidden="1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3233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hidden="1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1265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3233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hidden="1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1265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3233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hidden="1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1266</v>
      </c>
      <c r="R899" s="2" t="s">
        <v>1267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hidden="1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1268</v>
      </c>
      <c r="R900" s="2" t="s">
        <v>1269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hidden="1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1270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3233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hidden="1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3155</v>
      </c>
      <c r="P902" s="2" t="s">
        <v>1040</v>
      </c>
      <c r="Q902" s="2" t="s">
        <v>1271</v>
      </c>
      <c r="R902" s="2" t="s">
        <v>1272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3233</v>
      </c>
      <c r="AA902" s="2" t="s">
        <v>1043</v>
      </c>
      <c r="AB902" s="2" t="s">
        <v>1273</v>
      </c>
      <c r="AC902" s="2" t="s">
        <v>1040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hidden="1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hidden="1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hidden="1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hidden="1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3233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hidden="1" x14ac:dyDescent="0.2">
      <c r="A907" s="2">
        <v>2025</v>
      </c>
      <c r="B907" s="2">
        <v>4</v>
      </c>
      <c r="D907" s="2" t="s">
        <v>1274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1275</v>
      </c>
      <c r="J907" s="2" t="s">
        <v>1276</v>
      </c>
      <c r="L907" s="2" t="s">
        <v>178</v>
      </c>
      <c r="M907" s="2" t="s">
        <v>40</v>
      </c>
      <c r="O907" s="2" t="s">
        <v>1277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hidden="1" x14ac:dyDescent="0.2">
      <c r="A908" s="2">
        <v>2025</v>
      </c>
      <c r="B908" s="2">
        <v>4</v>
      </c>
      <c r="D908" s="2" t="s">
        <v>1278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1279</v>
      </c>
      <c r="J908" s="2" t="s">
        <v>1280</v>
      </c>
      <c r="L908" s="2" t="s">
        <v>340</v>
      </c>
      <c r="M908" s="2" t="s">
        <v>40</v>
      </c>
      <c r="O908" s="2" t="s">
        <v>1281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hidden="1" x14ac:dyDescent="0.2">
      <c r="A909" s="2">
        <v>2025</v>
      </c>
      <c r="B909" s="2">
        <v>4</v>
      </c>
      <c r="D909" s="2" t="s">
        <v>1278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1279</v>
      </c>
      <c r="J909" s="2" t="s">
        <v>1280</v>
      </c>
      <c r="L909" s="2" t="s">
        <v>340</v>
      </c>
      <c r="M909" s="2" t="s">
        <v>40</v>
      </c>
      <c r="O909" s="2" t="s">
        <v>1281</v>
      </c>
      <c r="P909" s="2" t="s">
        <v>115</v>
      </c>
      <c r="Q909" s="6" t="s">
        <v>1282</v>
      </c>
      <c r="R909" s="2" t="s">
        <v>1283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hidden="1" x14ac:dyDescent="0.2">
      <c r="A910" s="2">
        <v>2025</v>
      </c>
      <c r="B910" s="2">
        <v>4</v>
      </c>
      <c r="D910" s="2" t="s">
        <v>1278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hidden="1" x14ac:dyDescent="0.2">
      <c r="A911" s="2">
        <v>2025</v>
      </c>
      <c r="B911" s="2">
        <v>4</v>
      </c>
      <c r="D911" s="2" t="s">
        <v>1278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hidden="1" x14ac:dyDescent="0.2">
      <c r="A912" s="2">
        <v>2025</v>
      </c>
      <c r="B912" s="2">
        <v>4</v>
      </c>
      <c r="C912" s="2" t="s">
        <v>3416</v>
      </c>
      <c r="D912" s="2" t="s">
        <v>1284</v>
      </c>
      <c r="E912" s="2" t="s">
        <v>184</v>
      </c>
      <c r="F912" s="2" t="s">
        <v>3000</v>
      </c>
      <c r="L912" s="2" t="s">
        <v>100</v>
      </c>
      <c r="M912" s="2" t="s">
        <v>81</v>
      </c>
      <c r="P912" s="2" t="s">
        <v>283</v>
      </c>
      <c r="Q912" s="2" t="s">
        <v>1285</v>
      </c>
      <c r="R912" s="2" t="s">
        <v>1286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1579</v>
      </c>
      <c r="AB912" s="2" t="s">
        <v>389</v>
      </c>
      <c r="AC912" s="2" t="s">
        <v>1330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hidden="1" x14ac:dyDescent="0.2">
      <c r="A913" s="2">
        <v>2025</v>
      </c>
      <c r="B913" s="2">
        <v>4</v>
      </c>
      <c r="C913" s="2" t="s">
        <v>3416</v>
      </c>
      <c r="D913" s="2" t="s">
        <v>1284</v>
      </c>
      <c r="E913" s="2" t="s">
        <v>184</v>
      </c>
      <c r="F913" s="2" t="s">
        <v>3000</v>
      </c>
      <c r="L913" s="2" t="s">
        <v>100</v>
      </c>
      <c r="M913" s="2" t="s">
        <v>81</v>
      </c>
      <c r="P913" s="2" t="s">
        <v>283</v>
      </c>
      <c r="Q913" s="2" t="s">
        <v>1287</v>
      </c>
      <c r="R913" s="2" t="s">
        <v>1288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1579</v>
      </c>
      <c r="AB913" s="2" t="s">
        <v>389</v>
      </c>
      <c r="AC913" s="2" t="s">
        <v>1330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hidden="1" x14ac:dyDescent="0.2">
      <c r="A914" s="2">
        <v>2025</v>
      </c>
      <c r="B914" s="2">
        <v>4</v>
      </c>
      <c r="C914" s="2" t="s">
        <v>3416</v>
      </c>
      <c r="D914" s="2" t="s">
        <v>1284</v>
      </c>
      <c r="E914" s="2" t="s">
        <v>184</v>
      </c>
      <c r="F914" s="2" t="s">
        <v>3000</v>
      </c>
      <c r="L914" s="2" t="s">
        <v>100</v>
      </c>
      <c r="M914" s="2" t="s">
        <v>81</v>
      </c>
      <c r="P914" s="2" t="s">
        <v>283</v>
      </c>
      <c r="Q914" s="2" t="s">
        <v>1289</v>
      </c>
      <c r="R914" s="2" t="s">
        <v>1290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1579</v>
      </c>
      <c r="AB914" s="2" t="s">
        <v>389</v>
      </c>
      <c r="AC914" s="2" t="s">
        <v>1330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hidden="1" x14ac:dyDescent="0.2">
      <c r="A915" s="2">
        <v>2025</v>
      </c>
      <c r="B915" s="2">
        <v>4</v>
      </c>
      <c r="C915" s="2" t="s">
        <v>3416</v>
      </c>
      <c r="D915" s="2" t="s">
        <v>1284</v>
      </c>
      <c r="E915" s="2" t="s">
        <v>184</v>
      </c>
      <c r="F915" s="2" t="s">
        <v>3000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1579</v>
      </c>
      <c r="AB915" s="2" t="s">
        <v>389</v>
      </c>
      <c r="AC915" s="2" t="s">
        <v>1330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hidden="1" x14ac:dyDescent="0.2">
      <c r="A916" s="2">
        <v>2025</v>
      </c>
      <c r="B916" s="2">
        <v>4</v>
      </c>
      <c r="C916" s="2" t="s">
        <v>3416</v>
      </c>
      <c r="D916" s="2" t="s">
        <v>1284</v>
      </c>
      <c r="E916" s="2" t="s">
        <v>184</v>
      </c>
      <c r="F916" s="2" t="s">
        <v>3000</v>
      </c>
      <c r="L916" s="2" t="s">
        <v>100</v>
      </c>
      <c r="M916" s="2" t="s">
        <v>81</v>
      </c>
      <c r="P916" s="2" t="s">
        <v>283</v>
      </c>
      <c r="Q916" s="2" t="s">
        <v>1291</v>
      </c>
      <c r="R916" s="2" t="s">
        <v>1292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1579</v>
      </c>
      <c r="AB916" s="2" t="s">
        <v>389</v>
      </c>
      <c r="AC916" s="2" t="s">
        <v>1330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hidden="1" x14ac:dyDescent="0.2">
      <c r="A917" s="2">
        <v>2025</v>
      </c>
      <c r="B917" s="2">
        <v>4</v>
      </c>
      <c r="D917" s="2" t="s">
        <v>1293</v>
      </c>
      <c r="M917" s="2" t="s">
        <v>81</v>
      </c>
      <c r="P917" s="2" t="s">
        <v>115</v>
      </c>
      <c r="Q917" s="2" t="s">
        <v>1294</v>
      </c>
      <c r="R917" s="2" t="s">
        <v>1295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Z917" s="2" t="s">
        <v>118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hidden="1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1296</v>
      </c>
      <c r="R918" s="2" t="s">
        <v>1297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hidden="1" x14ac:dyDescent="0.2">
      <c r="A919" s="2">
        <v>2025</v>
      </c>
      <c r="B919" s="2">
        <v>4</v>
      </c>
      <c r="D919" s="2" t="s">
        <v>1298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1299</v>
      </c>
      <c r="L919" s="2" t="s">
        <v>340</v>
      </c>
      <c r="M919" s="2" t="s">
        <v>81</v>
      </c>
      <c r="O919" s="2" t="s">
        <v>3205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3233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hidden="1" x14ac:dyDescent="0.2">
      <c r="A920" s="2">
        <v>2025</v>
      </c>
      <c r="B920" s="2">
        <v>4</v>
      </c>
      <c r="D920" s="2" t="s">
        <v>1298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1299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3233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hidden="1" x14ac:dyDescent="0.2">
      <c r="A921" s="2">
        <v>2025</v>
      </c>
      <c r="B921" s="2">
        <v>4</v>
      </c>
      <c r="D921" s="2" t="s">
        <v>1300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hidden="1" x14ac:dyDescent="0.2">
      <c r="A922" s="2">
        <v>2025</v>
      </c>
      <c r="B922" s="2">
        <v>4</v>
      </c>
      <c r="D922" s="2" t="s">
        <v>1300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hidden="1" x14ac:dyDescent="0.2">
      <c r="A923" s="2">
        <v>2025</v>
      </c>
      <c r="B923" s="2">
        <v>4</v>
      </c>
      <c r="D923" s="2" t="s">
        <v>1300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hidden="1" x14ac:dyDescent="0.2">
      <c r="A925" s="2">
        <v>2025</v>
      </c>
      <c r="B925" s="2">
        <v>4</v>
      </c>
      <c r="D925" s="2" t="s">
        <v>1301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3233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hidden="1" x14ac:dyDescent="0.2">
      <c r="A926" s="2">
        <v>2025</v>
      </c>
      <c r="B926" s="2">
        <v>4</v>
      </c>
      <c r="D926" s="2" t="s">
        <v>1302</v>
      </c>
      <c r="P926" s="2" t="s">
        <v>115</v>
      </c>
      <c r="Q926" s="2" t="s">
        <v>1303</v>
      </c>
      <c r="R926" s="2" t="s">
        <v>1304</v>
      </c>
      <c r="S926" s="2">
        <v>2</v>
      </c>
      <c r="T926" s="2">
        <v>18.59</v>
      </c>
      <c r="X926" s="5">
        <f t="shared" si="113"/>
        <v>1</v>
      </c>
      <c r="Z926" s="2" t="s">
        <v>118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hidden="1" x14ac:dyDescent="0.2">
      <c r="A927" s="2">
        <v>2025</v>
      </c>
      <c r="B927" s="2">
        <v>4</v>
      </c>
      <c r="D927" s="2" t="s">
        <v>1305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hidden="1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3388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hidden="1" x14ac:dyDescent="0.2">
      <c r="A929" s="2">
        <v>2025</v>
      </c>
      <c r="B929" s="2">
        <v>4</v>
      </c>
      <c r="D929" s="2" t="s">
        <v>1306</v>
      </c>
      <c r="P929" s="2" t="s">
        <v>1196</v>
      </c>
      <c r="Q929" s="2" t="s">
        <v>1307</v>
      </c>
      <c r="R929" s="2" t="s">
        <v>1308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1201</v>
      </c>
      <c r="AB929" s="2" t="s">
        <v>120</v>
      </c>
      <c r="AC929" s="2" t="s">
        <v>1196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hidden="1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3233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hidden="1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3233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hidden="1" x14ac:dyDescent="0.2">
      <c r="A932" s="2">
        <v>2025</v>
      </c>
      <c r="B932" s="2">
        <v>4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3252</v>
      </c>
      <c r="J932" s="2" t="s">
        <v>3253</v>
      </c>
      <c r="K932" s="2">
        <v>96179412</v>
      </c>
      <c r="L932" s="2" t="s">
        <v>462</v>
      </c>
      <c r="M932" s="2" t="s">
        <v>40</v>
      </c>
      <c r="O932" s="2" t="s">
        <v>3256</v>
      </c>
      <c r="P932" s="2" t="s">
        <v>3263</v>
      </c>
      <c r="Q932" s="2" t="s">
        <v>1309</v>
      </c>
      <c r="R932" s="2" t="s">
        <v>1310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3262</v>
      </c>
      <c r="AB932" s="2" t="s">
        <v>1114</v>
      </c>
      <c r="AC932" s="2" t="s">
        <v>3261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hidden="1" x14ac:dyDescent="0.2">
      <c r="A933" s="2">
        <v>2025</v>
      </c>
      <c r="B933" s="2">
        <v>4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1314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3233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hidden="1" x14ac:dyDescent="0.2">
      <c r="A934" s="2">
        <v>2025</v>
      </c>
      <c r="B934" s="2">
        <v>4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3233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hidden="1" x14ac:dyDescent="0.2">
      <c r="A935" s="2">
        <v>2025</v>
      </c>
      <c r="B935" s="2">
        <v>4</v>
      </c>
      <c r="D935" s="2" t="s">
        <v>1315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1316</v>
      </c>
      <c r="L935" s="2" t="s">
        <v>178</v>
      </c>
      <c r="M935" s="2" t="s">
        <v>41</v>
      </c>
      <c r="O935" s="2" t="s">
        <v>1317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3233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hidden="1" x14ac:dyDescent="0.2">
      <c r="A936" s="2">
        <v>2025</v>
      </c>
      <c r="B936" s="2">
        <v>4</v>
      </c>
      <c r="D936" s="2" t="s">
        <v>1315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1316</v>
      </c>
      <c r="L936" s="2" t="s">
        <v>178</v>
      </c>
      <c r="M936" s="2" t="s">
        <v>41</v>
      </c>
      <c r="O936" s="2" t="s">
        <v>1317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3233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hidden="1" x14ac:dyDescent="0.2">
      <c r="A937" s="2">
        <v>2025</v>
      </c>
      <c r="B937" s="2">
        <v>4</v>
      </c>
      <c r="D937" s="2" t="s">
        <v>1315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1316</v>
      </c>
      <c r="L937" s="2" t="s">
        <v>178</v>
      </c>
      <c r="M937" s="2" t="s">
        <v>41</v>
      </c>
      <c r="O937" s="2" t="s">
        <v>1317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3233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hidden="1" x14ac:dyDescent="0.2">
      <c r="A938" s="2">
        <v>2025</v>
      </c>
      <c r="B938" s="2">
        <v>4</v>
      </c>
      <c r="D938" s="2" t="s">
        <v>1318</v>
      </c>
      <c r="G938" s="2">
        <v>507220633</v>
      </c>
      <c r="I938" s="2" t="s">
        <v>3157</v>
      </c>
      <c r="M938" s="2" t="s">
        <v>81</v>
      </c>
      <c r="O938" s="2" t="s">
        <v>3156</v>
      </c>
      <c r="P938" s="2" t="s">
        <v>1040</v>
      </c>
      <c r="Q938" s="2" t="s">
        <v>1319</v>
      </c>
      <c r="R938" s="2" t="s">
        <v>1320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3233</v>
      </c>
      <c r="AA938" s="2" t="s">
        <v>1043</v>
      </c>
      <c r="AB938" s="2" t="s">
        <v>1321</v>
      </c>
      <c r="AC938" s="2" t="s">
        <v>1040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hidden="1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3233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hidden="1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3233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hidden="1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3233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hidden="1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3233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hidden="1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3233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hidden="1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3233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hidden="1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3233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hidden="1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1322</v>
      </c>
      <c r="R946" s="2" t="s">
        <v>1323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3233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3233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1324</v>
      </c>
      <c r="L948" s="2" t="s">
        <v>100</v>
      </c>
      <c r="M948" s="2" t="s">
        <v>81</v>
      </c>
      <c r="O948" s="2" t="s">
        <v>1325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3233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3233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3233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3233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3233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3233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3233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3233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3233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3233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3233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3233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hidden="1" x14ac:dyDescent="0.2">
      <c r="A960" s="2">
        <v>2025</v>
      </c>
      <c r="B960" s="2">
        <v>5</v>
      </c>
      <c r="D960" s="2" t="s">
        <v>1326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3233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hidden="1" x14ac:dyDescent="0.2">
      <c r="A961" s="2">
        <v>2025</v>
      </c>
      <c r="B961" s="2">
        <v>5</v>
      </c>
      <c r="D961" s="2" t="s">
        <v>1326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3233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hidden="1" x14ac:dyDescent="0.2">
      <c r="A962" s="2">
        <v>2025</v>
      </c>
      <c r="B962" s="2">
        <v>5</v>
      </c>
      <c r="D962" s="2" t="s">
        <v>1327</v>
      </c>
      <c r="P962" s="2" t="s">
        <v>283</v>
      </c>
      <c r="Q962" s="2" t="s">
        <v>1328</v>
      </c>
      <c r="R962" s="2" t="s">
        <v>1329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3233</v>
      </c>
      <c r="AA962" s="2" t="s">
        <v>579</v>
      </c>
      <c r="AB962" s="2" t="s">
        <v>120</v>
      </c>
      <c r="AC962" s="2" t="s">
        <v>1330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1327</v>
      </c>
      <c r="P963" s="2" t="s">
        <v>283</v>
      </c>
      <c r="Q963" s="2" t="s">
        <v>1331</v>
      </c>
      <c r="R963" s="2" t="s">
        <v>1332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1333</v>
      </c>
      <c r="AC963" s="2" t="s">
        <v>1330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hidden="1" x14ac:dyDescent="0.2">
      <c r="A964" s="2">
        <v>2025</v>
      </c>
      <c r="B964" s="2">
        <v>5</v>
      </c>
      <c r="D964" s="2" t="s">
        <v>1334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hidden="1" x14ac:dyDescent="0.2">
      <c r="A965" s="2">
        <v>2025</v>
      </c>
      <c r="B965" s="2">
        <v>5</v>
      </c>
      <c r="D965" s="2" t="s">
        <v>1334</v>
      </c>
      <c r="P965" s="2" t="s">
        <v>115</v>
      </c>
      <c r="Q965" s="2" t="s">
        <v>1335</v>
      </c>
      <c r="R965" s="2" t="s">
        <v>1336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hidden="1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1337</v>
      </c>
      <c r="P966" s="2" t="s">
        <v>43</v>
      </c>
      <c r="Q966" s="2" t="s">
        <v>1338</v>
      </c>
      <c r="R966" s="2" t="s">
        <v>1339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3233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1340</v>
      </c>
      <c r="P967" s="2" t="s">
        <v>115</v>
      </c>
      <c r="Q967" s="2" t="s">
        <v>1341</v>
      </c>
      <c r="R967" s="2" t="s">
        <v>1342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1343</v>
      </c>
      <c r="P968" s="2" t="s">
        <v>115</v>
      </c>
      <c r="Q968" s="2" t="s">
        <v>1344</v>
      </c>
      <c r="R968" s="2" t="s">
        <v>1345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1340</v>
      </c>
      <c r="P969" s="2" t="s">
        <v>115</v>
      </c>
      <c r="Q969" s="2" t="s">
        <v>1346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hidden="1" x14ac:dyDescent="0.2">
      <c r="A970" s="2">
        <v>2025</v>
      </c>
      <c r="B970" s="2">
        <v>5</v>
      </c>
      <c r="D970" s="2" t="s">
        <v>1347</v>
      </c>
      <c r="P970" s="2" t="s">
        <v>73</v>
      </c>
      <c r="Q970" s="2" t="s">
        <v>1348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3233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hidden="1" x14ac:dyDescent="0.2">
      <c r="A971" s="2">
        <v>2025</v>
      </c>
      <c r="B971" s="2">
        <v>5</v>
      </c>
      <c r="D971" s="2" t="s">
        <v>1347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3233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hidden="1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1349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hidden="1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3233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hidden="1" x14ac:dyDescent="0.2">
      <c r="A974" s="2">
        <v>2025</v>
      </c>
      <c r="B974" s="2">
        <v>5</v>
      </c>
      <c r="D974" s="2" t="s">
        <v>1350</v>
      </c>
      <c r="P974" s="2" t="s">
        <v>1040</v>
      </c>
      <c r="Q974" s="2" t="s">
        <v>1351</v>
      </c>
      <c r="R974" s="2" t="s">
        <v>1352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3233</v>
      </c>
      <c r="AA974" s="2" t="s">
        <v>1043</v>
      </c>
      <c r="AB974" s="2" t="s">
        <v>1321</v>
      </c>
      <c r="AC974" s="2" t="s">
        <v>1040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3233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3233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hidden="1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3233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3233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hidden="1" x14ac:dyDescent="0.2">
      <c r="A979" s="2">
        <v>2025</v>
      </c>
      <c r="B979" s="2">
        <v>5</v>
      </c>
      <c r="D979" s="2" t="s">
        <v>1353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3233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hidden="1" x14ac:dyDescent="0.2">
      <c r="A980" s="2">
        <v>2025</v>
      </c>
      <c r="B980" s="2">
        <v>5</v>
      </c>
      <c r="D980" s="2" t="s">
        <v>1353</v>
      </c>
      <c r="P980" s="2" t="s">
        <v>283</v>
      </c>
      <c r="Q980" s="2" t="s">
        <v>1354</v>
      </c>
      <c r="R980" s="2" t="s">
        <v>1355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3233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hidden="1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1356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3233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hidden="1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1356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3233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hidden="1" x14ac:dyDescent="0.2">
      <c r="A983" s="2">
        <v>2025</v>
      </c>
      <c r="B983" s="2">
        <v>5</v>
      </c>
      <c r="D983" s="2" t="s">
        <v>1357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hidden="1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1358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1359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1579</v>
      </c>
      <c r="AB985" s="2" t="s">
        <v>389</v>
      </c>
      <c r="AC985" s="2" t="s">
        <v>1330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hidden="1" x14ac:dyDescent="0.2">
      <c r="A986" s="2">
        <v>2025</v>
      </c>
      <c r="B986" s="2">
        <v>5</v>
      </c>
      <c r="D986" s="2" t="s">
        <v>1358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1359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1579</v>
      </c>
      <c r="AB986" s="2" t="s">
        <v>389</v>
      </c>
      <c r="AC986" s="2" t="s">
        <v>1330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hidden="1" x14ac:dyDescent="0.2">
      <c r="A987" s="2">
        <v>2025</v>
      </c>
      <c r="B987" s="2">
        <v>5</v>
      </c>
      <c r="D987" s="2" t="s">
        <v>1358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1359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1579</v>
      </c>
      <c r="AB987" s="2" t="s">
        <v>389</v>
      </c>
      <c r="AC987" s="2" t="s">
        <v>1330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1360</v>
      </c>
      <c r="P989" s="2" t="s">
        <v>1361</v>
      </c>
      <c r="Q989" s="2" t="s">
        <v>1362</v>
      </c>
      <c r="R989" s="2" t="s">
        <v>1363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3233</v>
      </c>
      <c r="AA989" s="2" t="s">
        <v>76</v>
      </c>
      <c r="AB989" s="2" t="s">
        <v>77</v>
      </c>
      <c r="AC989" s="2" t="s">
        <v>1361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1364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1364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1364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hidden="1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3233</v>
      </c>
      <c r="AA993" s="2" t="s">
        <v>46</v>
      </c>
      <c r="AB993" s="2" t="s">
        <v>61</v>
      </c>
      <c r="AC993" s="2" t="s">
        <v>3339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hidden="1" x14ac:dyDescent="0.2">
      <c r="A994" s="2">
        <v>2025</v>
      </c>
      <c r="B994" s="2">
        <v>5</v>
      </c>
      <c r="D994" s="2" t="s">
        <v>1365</v>
      </c>
      <c r="P994" s="2" t="s">
        <v>43</v>
      </c>
      <c r="Q994" s="2" t="s">
        <v>1366</v>
      </c>
      <c r="R994" s="2" t="s">
        <v>1367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3233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hidden="1" x14ac:dyDescent="0.2">
      <c r="A995" s="2">
        <v>2025</v>
      </c>
      <c r="B995" s="2">
        <v>5</v>
      </c>
      <c r="D995" s="2" t="s">
        <v>1365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3233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hidden="1" x14ac:dyDescent="0.2">
      <c r="A996" s="2">
        <v>2025</v>
      </c>
      <c r="B996" s="2">
        <v>5</v>
      </c>
      <c r="D996" s="2" t="s">
        <v>1365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3233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1368</v>
      </c>
      <c r="P997" s="2" t="s">
        <v>85</v>
      </c>
      <c r="Q997" s="2" t="s">
        <v>1369</v>
      </c>
      <c r="R997" s="2" t="s">
        <v>1370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3233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1368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hidden="1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1371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1372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3233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1372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3233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hidden="1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1373</v>
      </c>
      <c r="R1002" s="2" t="s">
        <v>1374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25"/>
        <v>0.26139999999999997</v>
      </c>
      <c r="Z1002" s="2" t="s">
        <v>3233</v>
      </c>
      <c r="AA1002" s="2" t="s">
        <v>72</v>
      </c>
      <c r="AB1002" s="2" t="s">
        <v>120</v>
      </c>
      <c r="AC1002" s="2" t="s">
        <v>120</v>
      </c>
      <c r="AF1002" s="2">
        <f t="shared" si="120"/>
        <v>0</v>
      </c>
      <c r="AJ1002" s="2">
        <f t="shared" si="121"/>
        <v>0</v>
      </c>
      <c r="AK1002" s="2">
        <f t="shared" si="122"/>
        <v>32.674999999999997</v>
      </c>
      <c r="AL1002" s="5">
        <f t="shared" si="124"/>
        <v>0.26139999999999997</v>
      </c>
    </row>
    <row r="1003" spans="1:38" hidden="1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3233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hidden="1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3233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3305</v>
      </c>
      <c r="D1005" s="2" t="s">
        <v>1375</v>
      </c>
      <c r="E1005" s="2" t="s">
        <v>38</v>
      </c>
      <c r="F1005" s="2" t="s">
        <v>39</v>
      </c>
      <c r="I1005" s="2" t="s">
        <v>3306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3233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3305</v>
      </c>
      <c r="D1006" s="2" t="s">
        <v>1375</v>
      </c>
      <c r="E1006" s="2" t="s">
        <v>38</v>
      </c>
      <c r="F1006" s="2" t="s">
        <v>39</v>
      </c>
      <c r="I1006" s="2" t="s">
        <v>3306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3304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hidden="1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3233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3233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1376</v>
      </c>
      <c r="P1009" s="2" t="s">
        <v>115</v>
      </c>
      <c r="Q1009" s="2" t="s">
        <v>1377</v>
      </c>
      <c r="R1009" s="2" t="s">
        <v>1378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hidden="1" x14ac:dyDescent="0.2">
      <c r="A1010" s="2">
        <v>2025</v>
      </c>
      <c r="B1010" s="2">
        <v>5</v>
      </c>
      <c r="D1010" s="2" t="s">
        <v>1376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hidden="1" x14ac:dyDescent="0.2">
      <c r="A1011" s="2">
        <v>2025</v>
      </c>
      <c r="B1011" s="2">
        <v>5</v>
      </c>
      <c r="D1011" s="2" t="s">
        <v>1376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hidden="1" x14ac:dyDescent="0.2">
      <c r="A1012" s="2">
        <v>2025</v>
      </c>
      <c r="B1012" s="2">
        <v>5</v>
      </c>
      <c r="D1012" s="2" t="s">
        <v>1379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3233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1379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3233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hidden="1" x14ac:dyDescent="0.2">
      <c r="A1014" s="2">
        <v>2025</v>
      </c>
      <c r="B1014" s="2">
        <v>5</v>
      </c>
      <c r="D1014" s="2" t="s">
        <v>1380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3233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1380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3233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hidden="1" x14ac:dyDescent="0.2">
      <c r="A1016" s="2">
        <v>2025</v>
      </c>
      <c r="B1016" s="2">
        <v>5</v>
      </c>
      <c r="D1016" s="2" t="s">
        <v>1244</v>
      </c>
      <c r="P1016" s="2" t="s">
        <v>1381</v>
      </c>
      <c r="Q1016" s="2" t="s">
        <v>1382</v>
      </c>
      <c r="R1016" s="2" t="s">
        <v>1383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3233</v>
      </c>
      <c r="AA1016" s="2" t="s">
        <v>1043</v>
      </c>
      <c r="AB1016" s="2" t="s">
        <v>1321</v>
      </c>
      <c r="AC1016" s="2" t="s">
        <v>1381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hidden="1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1384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3233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hidden="1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1384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3233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hidden="1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1384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3233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3233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hidden="1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3233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hidden="1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3233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1385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3233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3233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hidden="1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3182</v>
      </c>
      <c r="K1025" s="2">
        <v>911577458</v>
      </c>
      <c r="L1025" s="2" t="s">
        <v>178</v>
      </c>
      <c r="M1025" s="2" t="s">
        <v>41</v>
      </c>
      <c r="O1025" s="2" t="s">
        <v>3184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3233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3182</v>
      </c>
      <c r="K1026" s="2">
        <v>911577458</v>
      </c>
      <c r="L1026" s="2" t="s">
        <v>178</v>
      </c>
      <c r="M1026" s="2" t="s">
        <v>41</v>
      </c>
      <c r="O1026" s="2" t="s">
        <v>3184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3233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3182</v>
      </c>
      <c r="K1027" s="2">
        <v>911577458</v>
      </c>
      <c r="L1027" s="2" t="s">
        <v>178</v>
      </c>
      <c r="M1027" s="2" t="s">
        <v>41</v>
      </c>
      <c r="O1027" s="2" t="s">
        <v>3184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3233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3332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3187</v>
      </c>
      <c r="L1029" s="2" t="s">
        <v>134</v>
      </c>
      <c r="M1029" s="2" t="s">
        <v>40</v>
      </c>
      <c r="O1029" s="2" t="s">
        <v>3189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3187</v>
      </c>
      <c r="L1030" s="2" t="s">
        <v>134</v>
      </c>
      <c r="M1030" s="2" t="s">
        <v>40</v>
      </c>
      <c r="O1030" s="2" t="s">
        <v>3189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hidden="1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3187</v>
      </c>
      <c r="L1031" s="2" t="s">
        <v>134</v>
      </c>
      <c r="M1031" s="2" t="s">
        <v>40</v>
      </c>
      <c r="O1031" s="2" t="s">
        <v>3189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hidden="1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1386</v>
      </c>
      <c r="R1032" s="2" t="s">
        <v>1387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hidden="1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1388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hidden="1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1389</v>
      </c>
      <c r="R1034" s="2" t="s">
        <v>1390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hidden="1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hidden="1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hidden="1" x14ac:dyDescent="0.2">
      <c r="A1037" s="2">
        <v>2025</v>
      </c>
      <c r="B1037" s="2">
        <v>5</v>
      </c>
      <c r="D1037" s="2" t="s">
        <v>1391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hidden="1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1392</v>
      </c>
      <c r="P1038" s="2" t="s">
        <v>73</v>
      </c>
      <c r="Q1038" s="2" t="s">
        <v>1393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3233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1392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3233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hidden="1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3233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hidden="1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3233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3233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3233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hidden="1" x14ac:dyDescent="0.2">
      <c r="A1044" s="2">
        <v>2025</v>
      </c>
      <c r="B1044" s="2">
        <v>5</v>
      </c>
      <c r="D1044" s="2" t="s">
        <v>1250</v>
      </c>
      <c r="P1044" s="2" t="s">
        <v>73</v>
      </c>
      <c r="Q1044" s="2" t="s">
        <v>1393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3233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hidden="1" x14ac:dyDescent="0.2">
      <c r="A1045" s="2">
        <v>2025</v>
      </c>
      <c r="B1045" s="2">
        <v>5</v>
      </c>
      <c r="D1045" s="2" t="s">
        <v>1250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3233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hidden="1" x14ac:dyDescent="0.2">
      <c r="A1046" s="2">
        <v>2025</v>
      </c>
      <c r="B1046" s="2">
        <v>5</v>
      </c>
      <c r="C1046" s="2" t="s">
        <v>3322</v>
      </c>
      <c r="D1046" s="2" t="s">
        <v>3321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3305</v>
      </c>
      <c r="D1047" s="2" t="s">
        <v>3320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3233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3305</v>
      </c>
      <c r="D1048" s="2" t="s">
        <v>3320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1394</v>
      </c>
      <c r="R1048" s="2" t="s">
        <v>1395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3233</v>
      </c>
      <c r="AA1048" s="2" t="s">
        <v>72</v>
      </c>
      <c r="AB1048" s="2" t="s">
        <v>1605</v>
      </c>
      <c r="AC1048" s="2" t="s">
        <v>1605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3305</v>
      </c>
      <c r="D1049" s="2" t="s">
        <v>3320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1396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3233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hidden="1" x14ac:dyDescent="0.2">
      <c r="A1051" s="2">
        <v>2025</v>
      </c>
      <c r="B1051" s="2">
        <v>5</v>
      </c>
      <c r="D1051" s="2" t="s">
        <v>1258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3233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1258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3233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hidden="1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hidden="1" x14ac:dyDescent="0.2">
      <c r="A1054" s="2">
        <v>2025</v>
      </c>
      <c r="B1054" s="2">
        <v>5</v>
      </c>
      <c r="C1054" s="2" t="s">
        <v>3322</v>
      </c>
      <c r="D1054" s="2" t="s">
        <v>1397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1398</v>
      </c>
      <c r="R1054" s="2" t="s">
        <v>1399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3238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hidden="1" x14ac:dyDescent="0.2">
      <c r="A1055" s="2">
        <v>2025</v>
      </c>
      <c r="B1055" s="2">
        <v>5</v>
      </c>
      <c r="D1055" s="2" t="s">
        <v>1400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3223</v>
      </c>
      <c r="J1055" s="2" t="s">
        <v>3222</v>
      </c>
      <c r="K1055" s="2">
        <v>913814877</v>
      </c>
      <c r="L1055" s="2" t="s">
        <v>202</v>
      </c>
      <c r="M1055" s="2" t="s">
        <v>81</v>
      </c>
      <c r="O1055" s="2" t="s">
        <v>3214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3233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1400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3223</v>
      </c>
      <c r="J1056" s="2" t="s">
        <v>3222</v>
      </c>
      <c r="K1056" s="2">
        <v>913814877</v>
      </c>
      <c r="L1056" s="2" t="s">
        <v>202</v>
      </c>
      <c r="M1056" s="2" t="s">
        <v>81</v>
      </c>
      <c r="O1056" s="2" t="s">
        <v>3214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3233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1400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3223</v>
      </c>
      <c r="J1057" s="2" t="s">
        <v>3222</v>
      </c>
      <c r="K1057" s="2">
        <v>913814877</v>
      </c>
      <c r="L1057" s="2" t="s">
        <v>202</v>
      </c>
      <c r="M1057" s="2" t="s">
        <v>40</v>
      </c>
      <c r="O1057" s="2" t="s">
        <v>3215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hidden="1" x14ac:dyDescent="0.2">
      <c r="A1058" s="2">
        <v>2025</v>
      </c>
      <c r="B1058" s="2">
        <v>5</v>
      </c>
      <c r="D1058" s="2" t="s">
        <v>1400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3223</v>
      </c>
      <c r="J1058" s="2" t="s">
        <v>3222</v>
      </c>
      <c r="K1058" s="2">
        <v>913814877</v>
      </c>
      <c r="L1058" s="2" t="s">
        <v>202</v>
      </c>
      <c r="M1058" s="2" t="s">
        <v>40</v>
      </c>
      <c r="O1058" s="2" t="s">
        <v>3215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1400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3223</v>
      </c>
      <c r="J1059" s="2" t="s">
        <v>3222</v>
      </c>
      <c r="K1059" s="2">
        <v>913814877</v>
      </c>
      <c r="L1059" s="2" t="s">
        <v>202</v>
      </c>
      <c r="M1059" s="2" t="s">
        <v>40</v>
      </c>
      <c r="O1059" s="2" t="s">
        <v>3215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3388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hidden="1" x14ac:dyDescent="0.2">
      <c r="A1060" s="2">
        <v>2025</v>
      </c>
      <c r="B1060" s="2">
        <v>5</v>
      </c>
      <c r="D1060" s="2" t="s">
        <v>1401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3233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1401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3233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hidden="1" x14ac:dyDescent="0.2">
      <c r="A1062" s="2">
        <v>2025</v>
      </c>
      <c r="B1062" s="2">
        <v>5</v>
      </c>
      <c r="D1062" s="2" t="s">
        <v>1402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1403</v>
      </c>
      <c r="J1062" s="2" t="s">
        <v>1404</v>
      </c>
      <c r="L1062" s="2" t="s">
        <v>178</v>
      </c>
      <c r="M1062" s="2" t="s">
        <v>40</v>
      </c>
      <c r="O1062" s="2" t="s">
        <v>1405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1402</v>
      </c>
      <c r="P1063" s="2" t="s">
        <v>115</v>
      </c>
      <c r="Q1063" s="2" t="s">
        <v>1406</v>
      </c>
      <c r="R1063" s="2" t="s">
        <v>1407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hidden="1" x14ac:dyDescent="0.2">
      <c r="A1064" s="2">
        <v>2025</v>
      </c>
      <c r="B1064" s="2">
        <v>5</v>
      </c>
      <c r="D1064" s="2" t="s">
        <v>1402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hidden="1" x14ac:dyDescent="0.2">
      <c r="A1065" s="2">
        <v>2025</v>
      </c>
      <c r="B1065" s="2">
        <v>5</v>
      </c>
      <c r="D1065" s="2" t="s">
        <v>1402</v>
      </c>
      <c r="P1065" s="2" t="s">
        <v>115</v>
      </c>
      <c r="Q1065" s="2" t="s">
        <v>1408</v>
      </c>
      <c r="R1065" s="2" t="s">
        <v>1409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hidden="1" x14ac:dyDescent="0.2">
      <c r="A1066" s="2">
        <v>2025</v>
      </c>
      <c r="B1066" s="2">
        <v>5</v>
      </c>
      <c r="D1066" s="2" t="s">
        <v>1402</v>
      </c>
      <c r="P1066" s="2" t="s">
        <v>115</v>
      </c>
      <c r="Q1066" s="2" t="s">
        <v>1410</v>
      </c>
      <c r="R1066" s="2" t="s">
        <v>1411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hidden="1" x14ac:dyDescent="0.2">
      <c r="A1067" s="2">
        <v>2025</v>
      </c>
      <c r="B1067" s="2">
        <v>5</v>
      </c>
      <c r="D1067" s="2" t="s">
        <v>1402</v>
      </c>
      <c r="P1067" s="2" t="s">
        <v>115</v>
      </c>
      <c r="Q1067" s="2" t="s">
        <v>1412</v>
      </c>
      <c r="R1067" s="2" t="s">
        <v>1413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hidden="1" x14ac:dyDescent="0.2">
      <c r="A1068" s="2">
        <v>2025</v>
      </c>
      <c r="B1068" s="2">
        <v>5</v>
      </c>
      <c r="D1068" s="2" t="s">
        <v>1402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hidden="1" x14ac:dyDescent="0.2">
      <c r="A1069" s="2">
        <v>2025</v>
      </c>
      <c r="B1069" s="2">
        <v>5</v>
      </c>
      <c r="D1069" s="2" t="s">
        <v>1402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hidden="1" x14ac:dyDescent="0.2">
      <c r="A1070" s="2">
        <v>2025</v>
      </c>
      <c r="B1070" s="2">
        <v>5</v>
      </c>
      <c r="D1070" s="2" t="s">
        <v>1402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hidden="1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1414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3233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1414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3233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hidden="1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1373</v>
      </c>
      <c r="R1073" s="2" t="s">
        <v>1374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3233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hidden="1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3233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1415</v>
      </c>
      <c r="P1075" s="2" t="s">
        <v>115</v>
      </c>
      <c r="Q1075" s="2" t="s">
        <v>1416</v>
      </c>
      <c r="R1075" s="2" t="s">
        <v>1417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hidden="1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1418</v>
      </c>
      <c r="R1076" s="2" t="s">
        <v>1419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3233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3199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3233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hidden="1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3233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hidden="1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1420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3233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1420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3233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hidden="1" x14ac:dyDescent="0.2">
      <c r="A1083" s="2">
        <v>2025</v>
      </c>
      <c r="B1083" s="2">
        <v>5</v>
      </c>
      <c r="D1083" s="2" t="s">
        <v>1421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2417</v>
      </c>
      <c r="J1083" s="2" t="s">
        <v>2418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3233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1421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2417</v>
      </c>
      <c r="J1084" s="2" t="s">
        <v>2418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3233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hidden="1" x14ac:dyDescent="0.2">
      <c r="A1085" s="2">
        <v>2025</v>
      </c>
      <c r="B1085" s="2">
        <v>5</v>
      </c>
      <c r="D1085" s="2" t="s">
        <v>1422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3233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1422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3233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hidden="1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1423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3233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1423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3233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hidden="1" x14ac:dyDescent="0.2">
      <c r="A1089" s="2">
        <v>2025</v>
      </c>
      <c r="B1089" s="2">
        <v>5</v>
      </c>
      <c r="D1089" s="2" t="s">
        <v>1424</v>
      </c>
      <c r="P1089" s="2" t="s">
        <v>115</v>
      </c>
      <c r="Q1089" s="2" t="s">
        <v>1425</v>
      </c>
      <c r="R1089" s="2" t="s">
        <v>1426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hidden="1" x14ac:dyDescent="0.2">
      <c r="A1090" s="2">
        <v>2025</v>
      </c>
      <c r="B1090" s="2">
        <v>5</v>
      </c>
      <c r="D1090" s="2" t="s">
        <v>1424</v>
      </c>
      <c r="P1090" s="2" t="s">
        <v>115</v>
      </c>
      <c r="Q1090" s="2" t="s">
        <v>1427</v>
      </c>
      <c r="R1090" s="2" t="s">
        <v>1428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hidden="1" x14ac:dyDescent="0.2">
      <c r="A1091" s="2">
        <v>2025</v>
      </c>
      <c r="B1091" s="2">
        <v>5</v>
      </c>
      <c r="D1091" s="2" t="s">
        <v>1424</v>
      </c>
      <c r="P1091" s="2" t="s">
        <v>115</v>
      </c>
      <c r="Q1091" s="2" t="s">
        <v>1429</v>
      </c>
      <c r="R1091" s="2" t="s">
        <v>1430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hidden="1" x14ac:dyDescent="0.2">
      <c r="A1092" s="2">
        <v>2025</v>
      </c>
      <c r="B1092" s="2">
        <v>5</v>
      </c>
      <c r="D1092" s="2" t="s">
        <v>1424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hidden="1" x14ac:dyDescent="0.2">
      <c r="A1093" s="2">
        <v>2025</v>
      </c>
      <c r="B1093" s="2">
        <v>5</v>
      </c>
      <c r="D1093" s="2" t="s">
        <v>1424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hidden="1" x14ac:dyDescent="0.2">
      <c r="A1094" s="2">
        <v>2025</v>
      </c>
      <c r="B1094" s="2">
        <v>5</v>
      </c>
      <c r="D1094" s="2" t="s">
        <v>1424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hidden="1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1431</v>
      </c>
      <c r="R1095" s="2" t="s">
        <v>1432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Z1095" s="2" t="s">
        <v>118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hidden="1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3233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3233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1433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1433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hidden="1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3233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3233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hidden="1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3233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1434</v>
      </c>
      <c r="R1103" s="2" t="s">
        <v>1435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3233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hidden="1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hidden="1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3233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1436</v>
      </c>
      <c r="R1106" s="2" t="s">
        <v>1437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Z1106" s="2" t="s">
        <v>118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hidden="1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hidden="1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hidden="1" x14ac:dyDescent="0.2">
      <c r="A1109" s="2">
        <v>2025</v>
      </c>
      <c r="B1109" s="2">
        <v>5</v>
      </c>
      <c r="D1109" s="2" t="s">
        <v>1298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1299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3233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1298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1299</v>
      </c>
      <c r="L1110" s="2" t="s">
        <v>340</v>
      </c>
      <c r="M1110" s="2" t="s">
        <v>81</v>
      </c>
      <c r="O1110" s="2" t="s">
        <v>3206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3233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1298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1299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3233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hidden="1" x14ac:dyDescent="0.2">
      <c r="A1112" s="2">
        <v>2025</v>
      </c>
      <c r="B1112" s="2">
        <v>5</v>
      </c>
      <c r="D1112" s="2" t="s">
        <v>1438</v>
      </c>
      <c r="P1112" s="2" t="s">
        <v>283</v>
      </c>
      <c r="Q1112" s="2" t="s">
        <v>1439</v>
      </c>
      <c r="R1112" s="2" t="s">
        <v>1440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3233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3233</v>
      </c>
      <c r="AA1113" s="2" t="s">
        <v>46</v>
      </c>
      <c r="AB1113" s="2" t="s">
        <v>61</v>
      </c>
      <c r="AC1113" s="2" t="s">
        <v>3339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hidden="1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3233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3233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Z1117" s="2" t="s">
        <v>118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hidden="1" x14ac:dyDescent="0.2">
      <c r="A1118" s="2">
        <v>2025</v>
      </c>
      <c r="B1118" s="2">
        <v>5</v>
      </c>
      <c r="D1118" s="2" t="s">
        <v>1441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3388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hidden="1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1439</v>
      </c>
      <c r="R1119" s="2" t="s">
        <v>1440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3233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Z1120" s="2" t="s">
        <v>118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hidden="1" x14ac:dyDescent="0.2">
      <c r="A1121" s="2">
        <v>2025</v>
      </c>
      <c r="B1121" s="2">
        <v>4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3252</v>
      </c>
      <c r="J1121" s="2" t="s">
        <v>3253</v>
      </c>
      <c r="K1121" s="2">
        <v>96179412</v>
      </c>
      <c r="L1121" s="2" t="s">
        <v>462</v>
      </c>
      <c r="M1121" s="2" t="s">
        <v>40</v>
      </c>
      <c r="O1121" s="2" t="s">
        <v>3256</v>
      </c>
      <c r="P1121" s="2" t="s">
        <v>40</v>
      </c>
      <c r="Q1121" s="2" t="s">
        <v>1311</v>
      </c>
      <c r="R1121" s="2" t="s">
        <v>3257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hidden="1" x14ac:dyDescent="0.2">
      <c r="A1122" s="2">
        <v>2025</v>
      </c>
      <c r="B1122" s="2">
        <v>4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3252</v>
      </c>
      <c r="J1122" s="2" t="s">
        <v>3253</v>
      </c>
      <c r="K1122" s="2">
        <v>96179412</v>
      </c>
      <c r="L1122" s="2" t="s">
        <v>462</v>
      </c>
      <c r="M1122" s="2" t="s">
        <v>40</v>
      </c>
      <c r="O1122" s="2" t="s">
        <v>3256</v>
      </c>
      <c r="P1122" s="2" t="s">
        <v>40</v>
      </c>
      <c r="Q1122" s="2" t="s">
        <v>1311</v>
      </c>
      <c r="R1122" s="2" t="s">
        <v>3258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hidden="1" x14ac:dyDescent="0.2">
      <c r="A1123" s="2">
        <v>2025</v>
      </c>
      <c r="B1123" s="2">
        <v>5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3252</v>
      </c>
      <c r="J1123" s="2" t="s">
        <v>3253</v>
      </c>
      <c r="K1123" s="2">
        <v>96179412</v>
      </c>
      <c r="L1123" s="2" t="s">
        <v>462</v>
      </c>
      <c r="M1123" s="2" t="s">
        <v>40</v>
      </c>
      <c r="O1123" s="2" t="s">
        <v>3259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3233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3233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hidden="1" x14ac:dyDescent="0.2">
      <c r="A1126" s="2">
        <v>2025</v>
      </c>
      <c r="B1126" s="2">
        <v>5</v>
      </c>
      <c r="D1126" s="2" t="s">
        <v>1442</v>
      </c>
      <c r="P1126" s="2" t="s">
        <v>115</v>
      </c>
      <c r="Q1126" s="2" t="s">
        <v>1443</v>
      </c>
      <c r="R1126" s="2" t="s">
        <v>1444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hidden="1" x14ac:dyDescent="0.2">
      <c r="A1127" s="2">
        <v>2025</v>
      </c>
      <c r="B1127" s="2">
        <v>5</v>
      </c>
      <c r="D1127" s="2" t="s">
        <v>1442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3388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hidden="1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2300</v>
      </c>
      <c r="J1128" s="2" t="s">
        <v>2301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2300</v>
      </c>
      <c r="J1129" s="2" t="s">
        <v>2301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hidden="1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2300</v>
      </c>
      <c r="J1130" s="2" t="s">
        <v>2301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hidden="1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2300</v>
      </c>
      <c r="J1131" s="2" t="s">
        <v>2301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hidden="1" x14ac:dyDescent="0.2">
      <c r="A1132" s="2">
        <v>2025</v>
      </c>
      <c r="B1132" s="2">
        <v>5</v>
      </c>
      <c r="D1132" s="2" t="s">
        <v>1315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1316</v>
      </c>
      <c r="L1132" s="2" t="s">
        <v>178</v>
      </c>
      <c r="M1132" s="2" t="s">
        <v>41</v>
      </c>
      <c r="O1132" s="2" t="s">
        <v>1445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3233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1315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1316</v>
      </c>
      <c r="L1133" s="2" t="s">
        <v>178</v>
      </c>
      <c r="M1133" s="2" t="s">
        <v>41</v>
      </c>
      <c r="O1133" s="2" t="s">
        <v>1445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3233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1446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3233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1439</v>
      </c>
      <c r="R1136" s="2" t="s">
        <v>1440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3233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1447</v>
      </c>
      <c r="R1137" s="2" t="s">
        <v>1448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3233</v>
      </c>
      <c r="AA1137" s="2" t="s">
        <v>72</v>
      </c>
      <c r="AB1137" s="2" t="s">
        <v>1605</v>
      </c>
      <c r="AC1137" s="2" t="s">
        <v>1605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1449</v>
      </c>
      <c r="R1138" s="2" t="s">
        <v>1450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3233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3233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3233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3233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3233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3233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3233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1451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3233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1452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3233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3233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3233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3233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3233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3388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hidden="1" x14ac:dyDescent="0.2">
      <c r="A1153" s="2">
        <v>2025</v>
      </c>
      <c r="B1153" s="2">
        <v>7</v>
      </c>
      <c r="D1153" s="2" t="s">
        <v>1453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hidden="1" x14ac:dyDescent="0.2">
      <c r="A1154" s="2">
        <v>2025</v>
      </c>
      <c r="B1154" s="2">
        <v>7</v>
      </c>
      <c r="D1154" s="2" t="s">
        <v>1453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hidden="1" x14ac:dyDescent="0.2">
      <c r="A1155" s="2">
        <v>2025</v>
      </c>
      <c r="B1155" s="2">
        <v>7</v>
      </c>
      <c r="D1155" s="2" t="s">
        <v>1453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hidden="1" x14ac:dyDescent="0.2">
      <c r="A1156" s="2">
        <v>2025</v>
      </c>
      <c r="B1156" s="2">
        <v>7</v>
      </c>
      <c r="D1156" s="2" t="s">
        <v>1454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1455</v>
      </c>
      <c r="J1156" s="2" t="s">
        <v>1456</v>
      </c>
      <c r="K1156" s="2">
        <v>917563471</v>
      </c>
      <c r="L1156" s="2" t="s">
        <v>100</v>
      </c>
      <c r="M1156" s="2" t="s">
        <v>81</v>
      </c>
      <c r="O1156" s="2" t="s">
        <v>1457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3233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1454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1455</v>
      </c>
      <c r="J1157" s="2" t="s">
        <v>1456</v>
      </c>
      <c r="K1157" s="2">
        <v>917563471</v>
      </c>
      <c r="L1157" s="2" t="s">
        <v>100</v>
      </c>
      <c r="M1157" s="2" t="s">
        <v>81</v>
      </c>
      <c r="O1157" s="2" t="s">
        <v>1457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3233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hidden="1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1458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3233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1458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3233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hidden="1" x14ac:dyDescent="0.2">
      <c r="A1160" s="2">
        <v>2025</v>
      </c>
      <c r="B1160" s="2">
        <v>7</v>
      </c>
      <c r="D1160" s="2" t="s">
        <v>1459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hidden="1" x14ac:dyDescent="0.2">
      <c r="A1161" s="2">
        <v>2025</v>
      </c>
      <c r="B1161" s="2">
        <v>7</v>
      </c>
      <c r="D1161" s="2" t="s">
        <v>1459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hidden="1" x14ac:dyDescent="0.2">
      <c r="A1162" s="2">
        <v>2025</v>
      </c>
      <c r="B1162" s="2">
        <v>7</v>
      </c>
      <c r="D1162" s="2" t="s">
        <v>1460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hidden="1" x14ac:dyDescent="0.2">
      <c r="A1163" s="2">
        <v>2025</v>
      </c>
      <c r="B1163" s="2">
        <v>7</v>
      </c>
      <c r="D1163" s="2" t="s">
        <v>1460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hidden="1" x14ac:dyDescent="0.2">
      <c r="A1164" s="2">
        <v>2025</v>
      </c>
      <c r="B1164" s="2">
        <v>7</v>
      </c>
      <c r="D1164" s="2" t="s">
        <v>1461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3233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hidden="1" x14ac:dyDescent="0.2">
      <c r="A1165" s="2">
        <v>2025</v>
      </c>
      <c r="B1165" s="2">
        <v>7</v>
      </c>
      <c r="D1165" s="2" t="s">
        <v>1461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3233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hidden="1" x14ac:dyDescent="0.2">
      <c r="A1166" s="2">
        <v>2025</v>
      </c>
      <c r="B1166" s="2">
        <v>7</v>
      </c>
      <c r="D1166" s="2" t="s">
        <v>1462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1463</v>
      </c>
      <c r="J1166" s="2" t="s">
        <v>1464</v>
      </c>
      <c r="K1166" s="2">
        <v>925788716</v>
      </c>
      <c r="L1166" s="2" t="s">
        <v>1465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3233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1462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1463</v>
      </c>
      <c r="J1167" s="2" t="s">
        <v>1464</v>
      </c>
      <c r="K1167" s="2">
        <v>925788716</v>
      </c>
      <c r="L1167" s="2" t="s">
        <v>1465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3233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1462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1463</v>
      </c>
      <c r="J1168" s="2" t="s">
        <v>1464</v>
      </c>
      <c r="K1168" s="2">
        <v>925788716</v>
      </c>
      <c r="L1168" s="2" t="s">
        <v>1465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3233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1462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1463</v>
      </c>
      <c r="J1169" s="2" t="s">
        <v>1464</v>
      </c>
      <c r="K1169" s="2">
        <v>925788716</v>
      </c>
      <c r="L1169" s="2" t="s">
        <v>1465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3233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1462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1463</v>
      </c>
      <c r="J1170" s="2" t="s">
        <v>1464</v>
      </c>
      <c r="K1170" s="2">
        <v>925788716</v>
      </c>
      <c r="L1170" s="2" t="s">
        <v>1465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3233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1462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1463</v>
      </c>
      <c r="J1171" s="2" t="s">
        <v>1464</v>
      </c>
      <c r="K1171" s="2">
        <v>925788716</v>
      </c>
      <c r="L1171" s="2" t="s">
        <v>1465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hidden="1" x14ac:dyDescent="0.2">
      <c r="A1172" s="2">
        <v>2025</v>
      </c>
      <c r="B1172" s="2">
        <v>7</v>
      </c>
      <c r="D1172" s="2" t="s">
        <v>1466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1467</v>
      </c>
      <c r="J1172" s="2" t="s">
        <v>1468</v>
      </c>
      <c r="K1172" s="2">
        <v>962823313</v>
      </c>
      <c r="L1172" s="2" t="s">
        <v>601</v>
      </c>
      <c r="M1172" s="2" t="s">
        <v>41</v>
      </c>
      <c r="O1172" s="2" t="s">
        <v>1469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3233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1466</v>
      </c>
      <c r="L1173" s="2" t="s">
        <v>601</v>
      </c>
      <c r="M1173" s="2" t="s">
        <v>41</v>
      </c>
      <c r="O1173" s="2" t="s">
        <v>1469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3233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hidden="1" x14ac:dyDescent="0.2">
      <c r="A1174" s="2">
        <v>2025</v>
      </c>
      <c r="B1174" s="2">
        <v>7</v>
      </c>
      <c r="D1174" s="2" t="s">
        <v>1466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3233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1466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3233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1466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Z1177" s="2" t="s">
        <v>118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3233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3233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3388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hidden="1" x14ac:dyDescent="0.2">
      <c r="A1181" s="2">
        <v>2025</v>
      </c>
      <c r="B1181" s="2">
        <v>7</v>
      </c>
      <c r="D1181" s="2" t="s">
        <v>1470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1471</v>
      </c>
      <c r="J1181" s="2" t="s">
        <v>1472</v>
      </c>
      <c r="L1181" s="2" t="s">
        <v>361</v>
      </c>
      <c r="M1181" s="2" t="s">
        <v>40</v>
      </c>
      <c r="O1181" s="2" t="s">
        <v>1473</v>
      </c>
      <c r="P1181" s="2" t="s">
        <v>115</v>
      </c>
      <c r="Q1181" s="2" t="s">
        <v>1474</v>
      </c>
      <c r="R1181" s="2" t="s">
        <v>1475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1470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1471</v>
      </c>
      <c r="J1182" s="2" t="s">
        <v>1472</v>
      </c>
      <c r="L1182" s="2" t="s">
        <v>361</v>
      </c>
      <c r="M1182" s="2" t="s">
        <v>40</v>
      </c>
      <c r="O1182" s="2" t="s">
        <v>1473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hidden="1" x14ac:dyDescent="0.2">
      <c r="A1183" s="2">
        <v>2025</v>
      </c>
      <c r="B1183" s="2">
        <v>7</v>
      </c>
      <c r="D1183" s="2" t="s">
        <v>1470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1471</v>
      </c>
      <c r="J1183" s="2" t="s">
        <v>1472</v>
      </c>
      <c r="L1183" s="2" t="s">
        <v>361</v>
      </c>
      <c r="M1183" s="2" t="s">
        <v>40</v>
      </c>
      <c r="O1183" s="2" t="s">
        <v>1473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hidden="1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1476</v>
      </c>
      <c r="K1184" s="2">
        <v>938183284</v>
      </c>
      <c r="L1184" s="2" t="s">
        <v>134</v>
      </c>
      <c r="M1184" s="2" t="s">
        <v>110</v>
      </c>
      <c r="O1184" s="2" t="s">
        <v>1477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3233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3233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hidden="1" x14ac:dyDescent="0.2">
      <c r="A1186" s="2">
        <v>2025</v>
      </c>
      <c r="B1186" s="2">
        <v>7</v>
      </c>
      <c r="D1186" s="2" t="s">
        <v>1478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3233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1478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3233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1479</v>
      </c>
      <c r="E1188" s="2" t="s">
        <v>753</v>
      </c>
      <c r="F1188" s="2" t="s">
        <v>1480</v>
      </c>
      <c r="G1188" s="2">
        <v>506123758</v>
      </c>
      <c r="H1188" s="2" t="s">
        <v>110</v>
      </c>
      <c r="I1188" s="2" t="s">
        <v>1481</v>
      </c>
      <c r="J1188" s="2" t="s">
        <v>1482</v>
      </c>
      <c r="K1188" s="2">
        <v>936406952</v>
      </c>
      <c r="L1188" s="2" t="s">
        <v>462</v>
      </c>
      <c r="M1188" s="2" t="s">
        <v>40</v>
      </c>
      <c r="O1188" s="2" t="s">
        <v>1483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hidden="1" x14ac:dyDescent="0.2">
      <c r="A1189" s="2">
        <v>2025</v>
      </c>
      <c r="B1189" s="2">
        <v>7</v>
      </c>
      <c r="D1189" s="2" t="s">
        <v>1479</v>
      </c>
      <c r="E1189" s="2" t="s">
        <v>753</v>
      </c>
      <c r="F1189" s="2" t="s">
        <v>1480</v>
      </c>
      <c r="G1189" s="2">
        <v>506123758</v>
      </c>
      <c r="H1189" s="2" t="s">
        <v>110</v>
      </c>
      <c r="I1189" s="2" t="s">
        <v>1481</v>
      </c>
      <c r="J1189" s="2" t="s">
        <v>1482</v>
      </c>
      <c r="K1189" s="2">
        <v>936406952</v>
      </c>
      <c r="L1189" s="2" t="s">
        <v>462</v>
      </c>
      <c r="M1189" s="2" t="s">
        <v>40</v>
      </c>
      <c r="O1189" s="2" t="s">
        <v>1483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hidden="1" x14ac:dyDescent="0.2">
      <c r="A1190" s="2">
        <v>2025</v>
      </c>
      <c r="B1190" s="2">
        <v>7</v>
      </c>
      <c r="D1190" s="2" t="s">
        <v>1484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1485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3233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1486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3233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1485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3233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hidden="1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1485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3233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hidden="1" x14ac:dyDescent="0.2">
      <c r="A1195" s="2">
        <v>2025</v>
      </c>
      <c r="B1195" s="2">
        <v>7</v>
      </c>
      <c r="D1195" s="2" t="s">
        <v>1487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hidden="1" x14ac:dyDescent="0.2">
      <c r="A1196" s="2">
        <v>2025</v>
      </c>
      <c r="B1196" s="2">
        <v>7</v>
      </c>
      <c r="D1196" s="2" t="s">
        <v>1488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3233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hidden="1" x14ac:dyDescent="0.2">
      <c r="A1197" s="2">
        <v>2025</v>
      </c>
      <c r="B1197" s="2">
        <v>7</v>
      </c>
      <c r="D1197" s="2" t="s">
        <v>1347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3233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1347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3233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hidden="1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3233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3233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3233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3233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hidden="1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3233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3233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1489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hidden="1" x14ac:dyDescent="0.2">
      <c r="A1206" s="2">
        <v>2025</v>
      </c>
      <c r="B1206" s="2">
        <v>7</v>
      </c>
      <c r="D1206" s="2" t="s">
        <v>1489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3233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1490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3233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1490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3233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hidden="1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1490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3233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hidden="1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1490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3233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hidden="1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1490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3233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hidden="1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1490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3233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hidden="1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1490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3233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1491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3233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1491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3233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hidden="1" x14ac:dyDescent="0.2">
      <c r="A1216" s="2">
        <v>2025</v>
      </c>
      <c r="B1216" s="2">
        <v>7</v>
      </c>
      <c r="C1216" s="2" t="s">
        <v>3422</v>
      </c>
      <c r="D1216" s="2" t="s">
        <v>1492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1398</v>
      </c>
      <c r="R1216" s="2" t="s">
        <v>1399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3238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hidden="1" x14ac:dyDescent="0.2">
      <c r="A1217" s="2">
        <v>2025</v>
      </c>
      <c r="B1217" s="2">
        <v>7</v>
      </c>
      <c r="D1217" s="2" t="s">
        <v>1493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1494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v>0</v>
      </c>
      <c r="AL1217" s="5">
        <v>0</v>
      </c>
    </row>
    <row r="1218" spans="1:38" hidden="1" x14ac:dyDescent="0.2">
      <c r="A1218" s="2">
        <v>2025</v>
      </c>
      <c r="B1218" s="2">
        <v>7</v>
      </c>
      <c r="D1218" s="2" t="s">
        <v>1493</v>
      </c>
      <c r="P1218" s="2" t="s">
        <v>115</v>
      </c>
      <c r="Q1218" s="2" t="s">
        <v>1495</v>
      </c>
      <c r="R1218" s="2" t="s">
        <v>1496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hidden="1" x14ac:dyDescent="0.2">
      <c r="A1219" s="2">
        <v>2025</v>
      </c>
      <c r="B1219" s="2">
        <v>7</v>
      </c>
      <c r="D1219" s="2" t="s">
        <v>1493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1497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1497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1498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1499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3233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1500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3233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1501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3233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hidden="1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3233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3233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3233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3233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3233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1502</v>
      </c>
      <c r="R1231" s="2" t="s">
        <v>1503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3233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3233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3233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1353</v>
      </c>
      <c r="P1234" s="2" t="s">
        <v>115</v>
      </c>
      <c r="Q1234" s="2" t="s">
        <v>1504</v>
      </c>
      <c r="R1234" s="2" t="s">
        <v>1505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Z1234" s="2" t="s">
        <v>118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3233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3233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3233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3233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3233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3233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1506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Z1241" s="2" t="s">
        <v>118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hidden="1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3388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hidden="1" x14ac:dyDescent="0.2">
      <c r="A1243" s="2">
        <v>2025</v>
      </c>
      <c r="B1243" s="2">
        <v>7</v>
      </c>
      <c r="D1243" s="2" t="s">
        <v>1357</v>
      </c>
      <c r="P1243" s="2" t="s">
        <v>283</v>
      </c>
      <c r="Q1243" s="2" t="s">
        <v>1439</v>
      </c>
      <c r="R1243" s="2" t="s">
        <v>1440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3233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hidden="1" x14ac:dyDescent="0.2">
      <c r="A1244" s="2">
        <v>2025</v>
      </c>
      <c r="B1244" s="2">
        <v>7</v>
      </c>
      <c r="D1244" s="2" t="s">
        <v>1507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1508</v>
      </c>
      <c r="J1244" s="2" t="s">
        <v>1509</v>
      </c>
      <c r="K1244" s="2">
        <v>961386655</v>
      </c>
      <c r="L1244" s="2" t="s">
        <v>134</v>
      </c>
      <c r="M1244" s="2" t="s">
        <v>40</v>
      </c>
      <c r="O1244" s="2" t="s">
        <v>1510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3233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1507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1508</v>
      </c>
      <c r="J1245" s="2" t="s">
        <v>1509</v>
      </c>
      <c r="K1245" s="2">
        <v>961386655</v>
      </c>
      <c r="L1245" s="2" t="s">
        <v>134</v>
      </c>
      <c r="M1245" s="2" t="s">
        <v>40</v>
      </c>
      <c r="O1245" s="2" t="s">
        <v>1510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3233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1507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1508</v>
      </c>
      <c r="J1246" s="2" t="s">
        <v>1509</v>
      </c>
      <c r="K1246" s="2">
        <v>961386655</v>
      </c>
      <c r="L1246" s="2" t="s">
        <v>134</v>
      </c>
      <c r="M1246" s="2" t="s">
        <v>40</v>
      </c>
      <c r="O1246" s="2" t="s">
        <v>1510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3233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1507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1508</v>
      </c>
      <c r="J1247" s="2" t="s">
        <v>1509</v>
      </c>
      <c r="K1247" s="2">
        <v>961386655</v>
      </c>
      <c r="L1247" s="2" t="s">
        <v>134</v>
      </c>
      <c r="M1247" s="2" t="s">
        <v>40</v>
      </c>
      <c r="O1247" s="2" t="s">
        <v>1510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3233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1507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1508</v>
      </c>
      <c r="J1248" s="2" t="s">
        <v>1509</v>
      </c>
      <c r="K1248" s="2">
        <v>961386655</v>
      </c>
      <c r="L1248" s="2" t="s">
        <v>134</v>
      </c>
      <c r="M1248" s="2" t="s">
        <v>40</v>
      </c>
      <c r="O1248" s="2" t="s">
        <v>1510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44"/>
        <v>0.25</v>
      </c>
      <c r="Z1248" s="2" t="s">
        <v>105</v>
      </c>
      <c r="AA1248" s="2" t="s">
        <v>151</v>
      </c>
      <c r="AB1248" s="2" t="s">
        <v>476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375</v>
      </c>
      <c r="AL1248" s="5">
        <f t="shared" si="148"/>
        <v>0.25</v>
      </c>
    </row>
    <row r="1249" spans="1:38" hidden="1" x14ac:dyDescent="0.2">
      <c r="A1249" s="2">
        <v>2025</v>
      </c>
      <c r="B1249" s="2">
        <v>7</v>
      </c>
      <c r="D1249" s="2" t="s">
        <v>1507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1508</v>
      </c>
      <c r="J1249" s="2" t="s">
        <v>1509</v>
      </c>
      <c r="K1249" s="2">
        <v>961386655</v>
      </c>
      <c r="L1249" s="2" t="s">
        <v>134</v>
      </c>
      <c r="M1249" s="2" t="s">
        <v>40</v>
      </c>
      <c r="O1249" s="2" t="s">
        <v>1510</v>
      </c>
      <c r="P1249" s="2" t="s">
        <v>40</v>
      </c>
      <c r="Q1249" s="2" t="s">
        <v>1512</v>
      </c>
      <c r="R1249" s="2" t="s">
        <v>1513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1511</v>
      </c>
      <c r="AB1249" s="2" t="s">
        <v>1514</v>
      </c>
      <c r="AC1249" s="2" t="s">
        <v>115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1358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1359</v>
      </c>
      <c r="L1250" s="2" t="s">
        <v>419</v>
      </c>
      <c r="P1250" s="2" t="s">
        <v>283</v>
      </c>
      <c r="Q1250" s="2" t="s">
        <v>1515</v>
      </c>
      <c r="R1250" s="2" t="s">
        <v>1516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3233</v>
      </c>
      <c r="AA1250" s="2" t="s">
        <v>72</v>
      </c>
      <c r="AB1250" s="2" t="s">
        <v>1605</v>
      </c>
      <c r="AC1250" s="2" t="s">
        <v>1605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1358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1359</v>
      </c>
      <c r="L1251" s="2" t="s">
        <v>419</v>
      </c>
      <c r="P1251" s="2" t="s">
        <v>283</v>
      </c>
      <c r="Q1251" s="2" t="s">
        <v>1517</v>
      </c>
      <c r="R1251" s="2" t="s">
        <v>1518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3233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hidden="1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1519</v>
      </c>
      <c r="R1252" s="2" t="s">
        <v>1520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Z1252" s="2" t="s">
        <v>118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hidden="1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hidden="1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hidden="1" x14ac:dyDescent="0.2">
      <c r="A1255" s="2">
        <v>2025</v>
      </c>
      <c r="B1255" s="2">
        <v>7</v>
      </c>
      <c r="D1255" s="2" t="s">
        <v>1521</v>
      </c>
      <c r="P1255" s="2" t="s">
        <v>283</v>
      </c>
      <c r="Q1255" s="2" t="s">
        <v>1449</v>
      </c>
      <c r="R1255" s="2" t="s">
        <v>1450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3233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hidden="1" x14ac:dyDescent="0.2">
      <c r="A1256" s="2">
        <v>2025</v>
      </c>
      <c r="B1256" s="2">
        <v>7</v>
      </c>
      <c r="D1256" s="2" t="s">
        <v>1521</v>
      </c>
      <c r="P1256" s="2" t="s">
        <v>69</v>
      </c>
      <c r="Q1256" s="2" t="s">
        <v>1522</v>
      </c>
      <c r="R1256" s="2" t="s">
        <v>1523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3238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hidden="1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hidden="1" x14ac:dyDescent="0.2">
      <c r="A1259" s="2">
        <v>2025</v>
      </c>
      <c r="B1259" s="2">
        <v>7</v>
      </c>
      <c r="D1259" s="2" t="s">
        <v>1524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1525</v>
      </c>
      <c r="J1259" s="2" t="s">
        <v>1526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-1244.2445</v>
      </c>
      <c r="AL1259" s="18">
        <v>-1</v>
      </c>
    </row>
    <row r="1260" spans="1:38" hidden="1" x14ac:dyDescent="0.2">
      <c r="A1260" s="2">
        <v>2025</v>
      </c>
      <c r="B1260" s="2">
        <v>7</v>
      </c>
      <c r="D1260" s="2" t="s">
        <v>1524</v>
      </c>
      <c r="P1260" s="2" t="s">
        <v>115</v>
      </c>
      <c r="Q1260" s="2" t="s">
        <v>1527</v>
      </c>
      <c r="R1260" s="2" t="s">
        <v>1528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hidden="1" x14ac:dyDescent="0.2">
      <c r="A1261" s="2">
        <v>2025</v>
      </c>
      <c r="B1261" s="2">
        <v>7</v>
      </c>
      <c r="D1261" s="2" t="s">
        <v>1524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hidden="1" x14ac:dyDescent="0.2">
      <c r="A1262" s="2">
        <v>2025</v>
      </c>
      <c r="B1262" s="2">
        <v>7</v>
      </c>
      <c r="D1262" s="2" t="s">
        <v>1529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1530</v>
      </c>
      <c r="J1262" s="2" t="s">
        <v>1531</v>
      </c>
      <c r="K1262" s="2">
        <v>962461409</v>
      </c>
      <c r="L1262" s="2" t="s">
        <v>345</v>
      </c>
      <c r="M1262" s="2" t="s">
        <v>40</v>
      </c>
      <c r="O1262" s="2" t="s">
        <v>1532</v>
      </c>
      <c r="P1262" s="2" t="s">
        <v>283</v>
      </c>
      <c r="Q1262" s="2" t="s">
        <v>1533</v>
      </c>
      <c r="R1262" s="2" t="s">
        <v>1534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3233</v>
      </c>
      <c r="AA1262" s="2" t="s">
        <v>579</v>
      </c>
      <c r="AB1262" s="2" t="s">
        <v>120</v>
      </c>
      <c r="AC1262" s="2" t="s">
        <v>1330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hidden="1" x14ac:dyDescent="0.2">
      <c r="A1263" s="2">
        <v>2025</v>
      </c>
      <c r="B1263" s="2">
        <v>7</v>
      </c>
      <c r="D1263" s="2" t="s">
        <v>1529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1530</v>
      </c>
      <c r="J1263" s="2" t="s">
        <v>1531</v>
      </c>
      <c r="K1263" s="2">
        <v>962461409</v>
      </c>
      <c r="L1263" s="2" t="s">
        <v>345</v>
      </c>
      <c r="M1263" s="2" t="s">
        <v>40</v>
      </c>
      <c r="O1263" s="2" t="s">
        <v>1532</v>
      </c>
      <c r="P1263" s="2" t="s">
        <v>283</v>
      </c>
      <c r="Q1263" s="2" t="s">
        <v>1535</v>
      </c>
      <c r="R1263" s="2" t="s">
        <v>1536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3233</v>
      </c>
      <c r="AA1263" s="2" t="s">
        <v>156</v>
      </c>
      <c r="AB1263" s="2" t="s">
        <v>3411</v>
      </c>
      <c r="AC1263" s="2" t="s">
        <v>1330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1529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1530</v>
      </c>
      <c r="J1264" s="2" t="s">
        <v>1531</v>
      </c>
      <c r="K1264" s="2">
        <v>962461409</v>
      </c>
      <c r="L1264" s="2" t="s">
        <v>345</v>
      </c>
      <c r="M1264" s="2" t="s">
        <v>40</v>
      </c>
      <c r="O1264" s="2" t="s">
        <v>1532</v>
      </c>
      <c r="P1264" s="2" t="s">
        <v>283</v>
      </c>
      <c r="Q1264" s="2" t="s">
        <v>1537</v>
      </c>
      <c r="R1264" s="2" t="s">
        <v>1538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49"/>
        <v>0.30000000000000004</v>
      </c>
      <c r="Z1264" s="2" t="s">
        <v>3233</v>
      </c>
      <c r="AA1264" s="2" t="s">
        <v>156</v>
      </c>
      <c r="AB1264" s="2" t="s">
        <v>3411</v>
      </c>
      <c r="AC1264" s="2" t="s">
        <v>1330</v>
      </c>
      <c r="AF1264" s="2">
        <f t="shared" si="145"/>
        <v>0</v>
      </c>
      <c r="AJ1264" s="2">
        <f t="shared" si="146"/>
        <v>0</v>
      </c>
      <c r="AK1264" s="2">
        <f t="shared" si="147"/>
        <v>8.1000000000000014</v>
      </c>
      <c r="AL1264" s="5">
        <f t="shared" si="148"/>
        <v>0.30000000000000004</v>
      </c>
    </row>
    <row r="1265" spans="1:38" hidden="1" x14ac:dyDescent="0.2">
      <c r="A1265" s="2">
        <v>2025</v>
      </c>
      <c r="B1265" s="2">
        <v>7</v>
      </c>
      <c r="D1265" s="2" t="s">
        <v>1529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1530</v>
      </c>
      <c r="J1265" s="2" t="s">
        <v>1531</v>
      </c>
      <c r="K1265" s="2">
        <v>962461409</v>
      </c>
      <c r="L1265" s="2" t="s">
        <v>345</v>
      </c>
      <c r="M1265" s="2" t="s">
        <v>40</v>
      </c>
      <c r="O1265" s="2" t="s">
        <v>1532</v>
      </c>
      <c r="P1265" s="2" t="s">
        <v>283</v>
      </c>
      <c r="Q1265" s="2" t="s">
        <v>1539</v>
      </c>
      <c r="R1265" s="2" t="s">
        <v>1540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49"/>
        <v>0.30000000000000004</v>
      </c>
      <c r="Z1265" s="2" t="s">
        <v>3233</v>
      </c>
      <c r="AA1265" s="2" t="s">
        <v>156</v>
      </c>
      <c r="AB1265" s="2" t="s">
        <v>3411</v>
      </c>
      <c r="AC1265" s="2" t="s">
        <v>1330</v>
      </c>
      <c r="AF1265" s="2">
        <f t="shared" si="145"/>
        <v>0</v>
      </c>
      <c r="AJ1265" s="2">
        <f t="shared" si="146"/>
        <v>0</v>
      </c>
      <c r="AK1265" s="2">
        <f t="shared" si="147"/>
        <v>8.1000000000000014</v>
      </c>
      <c r="AL1265" s="5">
        <f t="shared" si="148"/>
        <v>0.30000000000000004</v>
      </c>
    </row>
    <row r="1266" spans="1:38" hidden="1" x14ac:dyDescent="0.2">
      <c r="A1266" s="2">
        <v>2025</v>
      </c>
      <c r="B1266" s="2">
        <v>7</v>
      </c>
      <c r="D1266" s="2" t="s">
        <v>1529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1530</v>
      </c>
      <c r="J1266" s="2" t="s">
        <v>1531</v>
      </c>
      <c r="K1266" s="2">
        <v>962461409</v>
      </c>
      <c r="L1266" s="2" t="s">
        <v>345</v>
      </c>
      <c r="M1266" s="2" t="s">
        <v>40</v>
      </c>
      <c r="O1266" s="2" t="s">
        <v>1532</v>
      </c>
      <c r="P1266" s="2" t="s">
        <v>283</v>
      </c>
      <c r="Q1266" s="2" t="s">
        <v>1541</v>
      </c>
      <c r="R1266" s="2" t="s">
        <v>1542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49"/>
        <v>0.88336415094339626</v>
      </c>
      <c r="Z1266" s="2" t="s">
        <v>3233</v>
      </c>
      <c r="AA1266" s="2" t="s">
        <v>156</v>
      </c>
      <c r="AB1266" s="2" t="s">
        <v>3411</v>
      </c>
      <c r="AC1266" s="2" t="s">
        <v>1330</v>
      </c>
      <c r="AF1266" s="2">
        <f t="shared" si="145"/>
        <v>0</v>
      </c>
      <c r="AJ1266" s="2">
        <f t="shared" si="146"/>
        <v>0</v>
      </c>
      <c r="AK1266" s="2">
        <f t="shared" si="147"/>
        <v>46.818300000000001</v>
      </c>
      <c r="AL1266" s="5">
        <f t="shared" si="148"/>
        <v>0.88336415094339626</v>
      </c>
    </row>
    <row r="1267" spans="1:38" hidden="1" x14ac:dyDescent="0.2">
      <c r="A1267" s="2">
        <v>2025</v>
      </c>
      <c r="B1267" s="2">
        <v>7</v>
      </c>
      <c r="D1267" s="2" t="s">
        <v>1529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1530</v>
      </c>
      <c r="J1267" s="2" t="s">
        <v>1531</v>
      </c>
      <c r="K1267" s="2">
        <v>962461409</v>
      </c>
      <c r="L1267" s="2" t="s">
        <v>345</v>
      </c>
      <c r="M1267" s="2" t="s">
        <v>40</v>
      </c>
      <c r="O1267" s="2" t="s">
        <v>1532</v>
      </c>
      <c r="P1267" s="2" t="s">
        <v>283</v>
      </c>
      <c r="Q1267" s="2" t="s">
        <v>1543</v>
      </c>
      <c r="R1267" s="2" t="s">
        <v>1544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1333</v>
      </c>
      <c r="AC1267" s="2" t="s">
        <v>1330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1529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1530</v>
      </c>
      <c r="J1268" s="2" t="s">
        <v>1531</v>
      </c>
      <c r="K1268" s="2">
        <v>962461409</v>
      </c>
      <c r="L1268" s="2" t="s">
        <v>345</v>
      </c>
      <c r="M1268" s="2" t="s">
        <v>40</v>
      </c>
      <c r="O1268" s="2" t="s">
        <v>1532</v>
      </c>
      <c r="P1268" s="2" t="s">
        <v>283</v>
      </c>
      <c r="Q1268" s="2" t="s">
        <v>1545</v>
      </c>
      <c r="R1268" s="2" t="s">
        <v>1546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1333</v>
      </c>
      <c r="AC1268" s="2" t="s">
        <v>1330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1547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hidden="1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hidden="1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hidden="1" x14ac:dyDescent="0.2">
      <c r="A1272" s="2">
        <v>2025</v>
      </c>
      <c r="B1272" s="2">
        <v>7</v>
      </c>
      <c r="C1272" s="2" t="s">
        <v>3432</v>
      </c>
      <c r="D1272" s="2" t="s">
        <v>1548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1549</v>
      </c>
      <c r="R1273" s="2" t="s">
        <v>1550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3388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hidden="1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3233</v>
      </c>
      <c r="AA1277" s="2" t="s">
        <v>46</v>
      </c>
      <c r="AB1277" s="2" t="s">
        <v>61</v>
      </c>
      <c r="AC1277" s="2" t="s">
        <v>3339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hidden="1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3233</v>
      </c>
      <c r="AA1278" s="2" t="s">
        <v>46</v>
      </c>
      <c r="AB1278" s="2" t="s">
        <v>61</v>
      </c>
      <c r="AC1278" s="2" t="s">
        <v>3339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hidden="1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1551</v>
      </c>
      <c r="P1279" s="2" t="s">
        <v>283</v>
      </c>
      <c r="Q1279" s="2" t="s">
        <v>1552</v>
      </c>
      <c r="R1279" s="2" t="s">
        <v>1553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3409</v>
      </c>
    </row>
    <row r="1280" spans="1:38" hidden="1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1551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3233</v>
      </c>
      <c r="AA1280" s="2" t="s">
        <v>46</v>
      </c>
      <c r="AB1280" s="2" t="s">
        <v>61</v>
      </c>
      <c r="AC1280" s="2" t="s">
        <v>3339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hidden="1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1551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3233</v>
      </c>
      <c r="AA1281" s="2" t="s">
        <v>46</v>
      </c>
      <c r="AB1281" s="2" t="s">
        <v>61</v>
      </c>
      <c r="AC1281" s="2" t="s">
        <v>3339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hidden="1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1554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3233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1554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3233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3388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hidden="1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1555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1556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hidden="1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1556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hidden="1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1555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hidden="1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3388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hidden="1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hidden="1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2544</v>
      </c>
      <c r="L1295" s="2" t="s">
        <v>100</v>
      </c>
      <c r="M1295" s="2" t="s">
        <v>81</v>
      </c>
      <c r="O1295" s="2" t="s">
        <v>1557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3233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hidden="1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2544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3233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3233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3233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1558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1559</v>
      </c>
      <c r="J1299" s="2" t="s">
        <v>1560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hidden="1" x14ac:dyDescent="0.2">
      <c r="A1300" s="2">
        <v>2025</v>
      </c>
      <c r="B1300" s="2">
        <v>7</v>
      </c>
      <c r="D1300" s="2" t="s">
        <v>1558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1559</v>
      </c>
      <c r="J1300" s="2" t="s">
        <v>1560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hidden="1" x14ac:dyDescent="0.2">
      <c r="A1301" s="2">
        <v>2025</v>
      </c>
      <c r="B1301" s="2">
        <v>7</v>
      </c>
      <c r="D1301" s="2" t="s">
        <v>1379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3233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1379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3233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hidden="1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Z1303" s="2" t="s">
        <v>118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hidden="1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hidden="1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hidden="1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1561</v>
      </c>
      <c r="J1306" s="2" t="s">
        <v>1562</v>
      </c>
      <c r="K1306" s="2">
        <v>919050729</v>
      </c>
      <c r="L1306" s="2" t="s">
        <v>202</v>
      </c>
      <c r="M1306" s="2" t="s">
        <v>81</v>
      </c>
      <c r="O1306" s="2" t="s">
        <v>1563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3233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3233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hidden="1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1564</v>
      </c>
      <c r="P1308" s="2" t="s">
        <v>115</v>
      </c>
      <c r="Q1308" s="2" t="s">
        <v>1565</v>
      </c>
      <c r="R1308" s="2" t="s">
        <v>1566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1567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3233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1567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3233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hidden="1" x14ac:dyDescent="0.2">
      <c r="A1311" s="2">
        <v>2025</v>
      </c>
      <c r="B1311" s="2">
        <v>7</v>
      </c>
      <c r="D1311" s="2" t="s">
        <v>1568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hidden="1" x14ac:dyDescent="0.2">
      <c r="A1312" s="2">
        <v>2025</v>
      </c>
      <c r="B1312" s="2">
        <v>7</v>
      </c>
      <c r="D1312" s="2" t="s">
        <v>1568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hidden="1" x14ac:dyDescent="0.2">
      <c r="A1313" s="2">
        <v>2025</v>
      </c>
      <c r="B1313" s="2">
        <v>7</v>
      </c>
      <c r="D1313" s="2" t="s">
        <v>1569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3233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1569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3233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hidden="1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hidden="1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hidden="1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3233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hidden="1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hidden="1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3233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hidden="1" x14ac:dyDescent="0.2">
      <c r="A1321" s="2">
        <v>2025</v>
      </c>
      <c r="B1321" s="2">
        <v>7</v>
      </c>
      <c r="D1321" s="2" t="s">
        <v>1570</v>
      </c>
      <c r="P1321" s="2" t="s">
        <v>115</v>
      </c>
      <c r="Q1321" s="2" t="s">
        <v>1571</v>
      </c>
      <c r="R1321" s="2" t="s">
        <v>1572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Z1321" s="2" t="s">
        <v>118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hidden="1" x14ac:dyDescent="0.2">
      <c r="A1322" s="2">
        <v>2025</v>
      </c>
      <c r="B1322" s="2">
        <v>7</v>
      </c>
      <c r="D1322" s="2" t="s">
        <v>1570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hidden="1" x14ac:dyDescent="0.2">
      <c r="A1323" s="2">
        <v>2025</v>
      </c>
      <c r="B1323" s="2">
        <v>7</v>
      </c>
      <c r="D1323" s="2" t="s">
        <v>1570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hidden="1" x14ac:dyDescent="0.2">
      <c r="A1324" s="2">
        <v>2025</v>
      </c>
      <c r="B1324" s="2">
        <v>7</v>
      </c>
      <c r="D1324" s="2" t="s">
        <v>1570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hidden="1" x14ac:dyDescent="0.2">
      <c r="A1325" s="2">
        <v>2025</v>
      </c>
      <c r="B1325" s="2">
        <v>7</v>
      </c>
      <c r="C1325" s="2" t="s">
        <v>3407</v>
      </c>
      <c r="D1325" s="2" t="s">
        <v>1573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1574</v>
      </c>
      <c r="R1325" s="2" t="s">
        <v>1575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3233</v>
      </c>
      <c r="AA1325" s="2" t="s">
        <v>76</v>
      </c>
      <c r="AB1325" s="2" t="s">
        <v>77</v>
      </c>
      <c r="AC1325" s="2" t="s">
        <v>1040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3407</v>
      </c>
      <c r="D1326" s="2" t="s">
        <v>1573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1576</v>
      </c>
      <c r="R1326" s="2" t="s">
        <v>1577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3233</v>
      </c>
      <c r="AA1326" s="2" t="s">
        <v>76</v>
      </c>
      <c r="AB1326" s="2" t="s">
        <v>77</v>
      </c>
      <c r="AC1326" s="2" t="s">
        <v>1040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1573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3233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hidden="1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1552</v>
      </c>
      <c r="R1328" s="2" t="s">
        <v>1553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3233</v>
      </c>
      <c r="AA1329" s="2" t="s">
        <v>46</v>
      </c>
      <c r="AB1329" s="2" t="s">
        <v>61</v>
      </c>
      <c r="AC1329" s="2" t="s">
        <v>3339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3233</v>
      </c>
      <c r="AA1330" s="2" t="s">
        <v>46</v>
      </c>
      <c r="AB1330" s="2" t="s">
        <v>61</v>
      </c>
      <c r="AC1330" s="2" t="s">
        <v>3339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1578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1285</v>
      </c>
      <c r="R1331" s="2" t="s">
        <v>1286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1579</v>
      </c>
      <c r="AB1331" s="2" t="s">
        <v>389</v>
      </c>
      <c r="AC1331" s="2" t="s">
        <v>1330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1578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1287</v>
      </c>
      <c r="R1332" s="2" t="s">
        <v>1288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1579</v>
      </c>
      <c r="AB1332" s="2" t="s">
        <v>389</v>
      </c>
      <c r="AC1332" s="2" t="s">
        <v>1330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hidden="1" x14ac:dyDescent="0.2">
      <c r="A1333" s="2">
        <v>2025</v>
      </c>
      <c r="B1333" s="2">
        <v>7</v>
      </c>
      <c r="D1333" s="2" t="s">
        <v>1578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1579</v>
      </c>
      <c r="AB1333" s="2" t="s">
        <v>389</v>
      </c>
      <c r="AC1333" s="2" t="s">
        <v>1330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1578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1579</v>
      </c>
      <c r="AB1334" s="2" t="s">
        <v>389</v>
      </c>
      <c r="AC1334" s="2" t="s">
        <v>1330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hidden="1" x14ac:dyDescent="0.2">
      <c r="A1335" s="2">
        <v>2025</v>
      </c>
      <c r="B1335" s="2">
        <v>7</v>
      </c>
      <c r="D1335" s="2" t="s">
        <v>1578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1579</v>
      </c>
      <c r="AB1335" s="2" t="s">
        <v>389</v>
      </c>
      <c r="AC1335" s="2" t="s">
        <v>1330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hidden="1" x14ac:dyDescent="0.2">
      <c r="A1336" s="2">
        <v>2025</v>
      </c>
      <c r="B1336" s="2">
        <v>7</v>
      </c>
      <c r="D1336" s="2" t="s">
        <v>1580</v>
      </c>
      <c r="Q1336" s="2" t="s">
        <v>1581</v>
      </c>
      <c r="R1336" s="2" t="s">
        <v>1582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hidden="1" x14ac:dyDescent="0.2">
      <c r="A1337" s="2">
        <v>2025</v>
      </c>
      <c r="B1337" s="2">
        <v>7</v>
      </c>
      <c r="D1337" s="2" t="s">
        <v>1580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hidden="1" x14ac:dyDescent="0.2">
      <c r="A1338" s="2">
        <v>2025</v>
      </c>
      <c r="B1338" s="2">
        <v>7</v>
      </c>
      <c r="C1338" s="2" t="s">
        <v>3323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1583</v>
      </c>
      <c r="R1338" s="2" t="s">
        <v>1584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hidden="1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hidden="1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1585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3233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1585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3233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1585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hidden="1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hidden="1" x14ac:dyDescent="0.2">
      <c r="A1345" s="2">
        <v>2025</v>
      </c>
      <c r="B1345" s="2">
        <v>7</v>
      </c>
      <c r="D1345" s="2" t="s">
        <v>1586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3233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1586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3388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hidden="1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3233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hidden="1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3233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hidden="1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1268</v>
      </c>
      <c r="R1350" s="2" t="s">
        <v>1269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Z1350" s="2" t="s">
        <v>118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hidden="1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hidden="1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hidden="1" x14ac:dyDescent="0.2">
      <c r="A1353" s="2">
        <v>2025</v>
      </c>
      <c r="B1353" s="2">
        <v>7</v>
      </c>
      <c r="D1353" s="2" t="s">
        <v>1587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hidden="1" x14ac:dyDescent="0.2">
      <c r="A1354" s="2">
        <v>2025</v>
      </c>
      <c r="B1354" s="2">
        <v>7</v>
      </c>
      <c r="D1354" s="2" t="s">
        <v>1587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hidden="1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hidden="1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hidden="1" x14ac:dyDescent="0.2">
      <c r="A1357" s="2">
        <v>2025</v>
      </c>
      <c r="B1357" s="2">
        <v>7</v>
      </c>
      <c r="D1357" s="2" t="s">
        <v>1067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3233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3140</v>
      </c>
      <c r="L1358" s="2" t="s">
        <v>178</v>
      </c>
      <c r="M1358" s="2" t="s">
        <v>41</v>
      </c>
      <c r="O1358" s="2" t="s">
        <v>3145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3233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3140</v>
      </c>
      <c r="L1359" s="2" t="s">
        <v>178</v>
      </c>
      <c r="M1359" s="2" t="s">
        <v>41</v>
      </c>
      <c r="O1359" s="2" t="s">
        <v>3144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3233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60"/>
        <v>0.25000000000000006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304.87750000000005</v>
      </c>
      <c r="AL1360" s="5">
        <f t="shared" ref="AL1360:AL1423" si="164">(T1360-W1360)/T1360</f>
        <v>0.25000000000000006</v>
      </c>
    </row>
    <row r="1361" spans="1:38" hidden="1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3233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hidden="1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3233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hidden="1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3233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hidden="1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3233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hidden="1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3233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3233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3233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1588</v>
      </c>
      <c r="M1368" s="2" t="s">
        <v>81</v>
      </c>
      <c r="P1368" s="2" t="s">
        <v>283</v>
      </c>
      <c r="Q1368" s="2" t="s">
        <v>1589</v>
      </c>
      <c r="R1368" s="2" t="s">
        <v>1590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3233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1588</v>
      </c>
      <c r="M1369" s="2" t="s">
        <v>81</v>
      </c>
      <c r="P1369" s="2" t="s">
        <v>283</v>
      </c>
      <c r="Q1369" s="2" t="s">
        <v>1591</v>
      </c>
      <c r="R1369" s="2" t="s">
        <v>1592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3233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1588</v>
      </c>
      <c r="M1370" s="2" t="s">
        <v>81</v>
      </c>
      <c r="P1370" s="2" t="s">
        <v>283</v>
      </c>
      <c r="Q1370" s="2" t="s">
        <v>1439</v>
      </c>
      <c r="R1370" s="2" t="s">
        <v>1440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3233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1588</v>
      </c>
      <c r="M1371" s="2" t="s">
        <v>81</v>
      </c>
      <c r="P1371" s="2" t="s">
        <v>283</v>
      </c>
      <c r="Q1371" s="2" t="s">
        <v>1593</v>
      </c>
      <c r="R1371" s="2" t="s">
        <v>1594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3233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hidden="1" x14ac:dyDescent="0.2">
      <c r="A1372" s="2">
        <v>2025</v>
      </c>
      <c r="B1372" s="2">
        <v>7</v>
      </c>
      <c r="D1372" s="2" t="s">
        <v>1588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3233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1588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3233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hidden="1" x14ac:dyDescent="0.2">
      <c r="A1374" s="2">
        <v>2025</v>
      </c>
      <c r="B1374" s="2">
        <v>7</v>
      </c>
      <c r="D1374" s="2" t="s">
        <v>1595</v>
      </c>
      <c r="P1374" s="2" t="s">
        <v>115</v>
      </c>
      <c r="Q1374" s="2" t="s">
        <v>1596</v>
      </c>
      <c r="R1374" s="2" t="s">
        <v>1597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Z1374" s="2" t="s">
        <v>118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hidden="1" x14ac:dyDescent="0.2">
      <c r="A1375" s="2">
        <v>2025</v>
      </c>
      <c r="B1375" s="2">
        <v>7</v>
      </c>
      <c r="D1375" s="2" t="s">
        <v>1598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1599</v>
      </c>
      <c r="J1375" s="2" t="s">
        <v>1600</v>
      </c>
      <c r="L1375" s="2" t="s">
        <v>202</v>
      </c>
      <c r="M1375" s="2" t="s">
        <v>41</v>
      </c>
      <c r="O1375" s="2" t="s">
        <v>1601</v>
      </c>
      <c r="P1375" s="2" t="s">
        <v>283</v>
      </c>
      <c r="Q1375" s="2" t="s">
        <v>1552</v>
      </c>
      <c r="R1375" s="2" t="s">
        <v>1553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3409</v>
      </c>
    </row>
    <row r="1376" spans="1:38" hidden="1" x14ac:dyDescent="0.2">
      <c r="A1376" s="2">
        <v>2025</v>
      </c>
      <c r="B1376" s="2">
        <v>7</v>
      </c>
      <c r="D1376" s="2" t="s">
        <v>1598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1599</v>
      </c>
      <c r="J1376" s="2" t="s">
        <v>1600</v>
      </c>
      <c r="L1376" s="2" t="s">
        <v>202</v>
      </c>
      <c r="M1376" s="2" t="s">
        <v>41</v>
      </c>
      <c r="O1376" s="2" t="s">
        <v>1601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3233</v>
      </c>
      <c r="AA1376" s="2" t="s">
        <v>46</v>
      </c>
      <c r="AB1376" s="2" t="s">
        <v>61</v>
      </c>
      <c r="AC1376" s="2" t="s">
        <v>3339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hidden="1" x14ac:dyDescent="0.2">
      <c r="A1377" s="2">
        <v>2025</v>
      </c>
      <c r="B1377" s="2">
        <v>7</v>
      </c>
      <c r="D1377" s="2" t="s">
        <v>1598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1599</v>
      </c>
      <c r="J1377" s="2" t="s">
        <v>1600</v>
      </c>
      <c r="L1377" s="2" t="s">
        <v>202</v>
      </c>
      <c r="M1377" s="2" t="s">
        <v>41</v>
      </c>
      <c r="O1377" s="2" t="s">
        <v>1601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3233</v>
      </c>
      <c r="AA1377" s="2" t="s">
        <v>46</v>
      </c>
      <c r="AB1377" s="2" t="s">
        <v>61</v>
      </c>
      <c r="AC1377" s="2" t="s">
        <v>3339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hidden="1" x14ac:dyDescent="0.2">
      <c r="A1378" s="2">
        <v>2025</v>
      </c>
      <c r="B1378" s="2">
        <v>7</v>
      </c>
      <c r="D1378" s="2" t="s">
        <v>1602</v>
      </c>
      <c r="P1378" s="2" t="s">
        <v>73</v>
      </c>
      <c r="Q1378" s="2" t="s">
        <v>1603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3233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hidden="1" x14ac:dyDescent="0.2">
      <c r="A1379" s="2">
        <v>2025</v>
      </c>
      <c r="B1379" s="2">
        <v>7</v>
      </c>
      <c r="D1379" s="2" t="s">
        <v>1602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3233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hidden="1" x14ac:dyDescent="0.2">
      <c r="A1380" s="2">
        <v>2025</v>
      </c>
      <c r="B1380" s="2">
        <v>7</v>
      </c>
      <c r="D1380" s="2" t="s">
        <v>1604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hidden="1" x14ac:dyDescent="0.2">
      <c r="A1381" s="2">
        <v>2025</v>
      </c>
      <c r="B1381" s="2">
        <v>7</v>
      </c>
      <c r="D1381" s="2" t="s">
        <v>1604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hidden="1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1515</v>
      </c>
      <c r="R1382" s="2" t="s">
        <v>1516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3233</v>
      </c>
      <c r="AA1382" s="2" t="s">
        <v>72</v>
      </c>
      <c r="AB1382" s="2" t="s">
        <v>1605</v>
      </c>
      <c r="AC1382" s="2" t="s">
        <v>1605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3233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3233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1606</v>
      </c>
      <c r="P1385" s="2" t="s">
        <v>188</v>
      </c>
      <c r="Q1385" s="2" t="s">
        <v>1607</v>
      </c>
      <c r="R1385" s="2" t="s">
        <v>1608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1609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1606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hidden="1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1606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hidden="1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3233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3233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1610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3233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hidden="1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3233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hidden="1" x14ac:dyDescent="0.2">
      <c r="A1393" s="2">
        <v>2025</v>
      </c>
      <c r="B1393" s="2">
        <v>7</v>
      </c>
      <c r="D1393" s="2" t="s">
        <v>1422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3233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1422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3233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hidden="1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1611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1612</v>
      </c>
      <c r="P1396" s="2" t="s">
        <v>1613</v>
      </c>
      <c r="Q1396" s="2" t="s">
        <v>1614</v>
      </c>
      <c r="R1396" s="2" t="s">
        <v>1615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1613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1616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3233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1612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1612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hidden="1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1616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3233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hidden="1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1612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3388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hidden="1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1617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3233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3233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hidden="1" x14ac:dyDescent="0.2">
      <c r="A1404" s="2">
        <v>2025</v>
      </c>
      <c r="B1404" s="2">
        <v>7</v>
      </c>
      <c r="D1404" s="2" t="s">
        <v>1618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1619</v>
      </c>
      <c r="J1404" s="2" t="s">
        <v>1620</v>
      </c>
      <c r="K1404" s="2">
        <v>917259016</v>
      </c>
      <c r="L1404" s="2" t="s">
        <v>100</v>
      </c>
      <c r="M1404" s="2" t="s">
        <v>41</v>
      </c>
      <c r="O1404" s="2" t="s">
        <v>1621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3233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1618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1619</v>
      </c>
      <c r="J1405" s="2" t="s">
        <v>1620</v>
      </c>
      <c r="K1405" s="2">
        <v>917259016</v>
      </c>
      <c r="L1405" s="2" t="s">
        <v>100</v>
      </c>
      <c r="M1405" s="2" t="s">
        <v>41</v>
      </c>
      <c r="O1405" s="2" t="s">
        <v>1621</v>
      </c>
      <c r="P1405" s="2" t="s">
        <v>73</v>
      </c>
      <c r="Q1405" s="2" t="s">
        <v>1622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3233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1618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1619</v>
      </c>
      <c r="J1406" s="2" t="s">
        <v>1620</v>
      </c>
      <c r="K1406" s="2">
        <v>917259016</v>
      </c>
      <c r="L1406" s="2" t="s">
        <v>100</v>
      </c>
      <c r="M1406" s="2" t="s">
        <v>41</v>
      </c>
      <c r="O1406" s="2" t="s">
        <v>1621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3233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hidden="1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1623</v>
      </c>
      <c r="P1407" s="2" t="s">
        <v>69</v>
      </c>
      <c r="Q1407" s="2" t="s">
        <v>1624</v>
      </c>
      <c r="R1407" s="2" t="s">
        <v>1625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3238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1626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hidden="1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1515</v>
      </c>
      <c r="R1409" s="2" t="s">
        <v>1516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3233</v>
      </c>
      <c r="AA1409" s="2" t="s">
        <v>72</v>
      </c>
      <c r="AB1409" s="2" t="s">
        <v>1605</v>
      </c>
      <c r="AC1409" s="2" t="s">
        <v>1605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hidden="1" x14ac:dyDescent="0.2">
      <c r="A1410" s="2">
        <v>2025</v>
      </c>
      <c r="B1410" s="2">
        <v>7</v>
      </c>
      <c r="D1410" s="2" t="s">
        <v>895</v>
      </c>
      <c r="P1410" s="2" t="s">
        <v>43</v>
      </c>
      <c r="Q1410" s="2" t="s">
        <v>1366</v>
      </c>
      <c r="R1410" s="2" t="s">
        <v>1367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3233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hidden="1" x14ac:dyDescent="0.2">
      <c r="A1411" s="2">
        <v>2025</v>
      </c>
      <c r="B1411" s="2">
        <v>7</v>
      </c>
      <c r="D1411" s="2" t="s">
        <v>895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3233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3233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3233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hidden="1" x14ac:dyDescent="0.2">
      <c r="A1414" s="2">
        <v>2025</v>
      </c>
      <c r="B1414" s="2">
        <v>7</v>
      </c>
      <c r="D1414" s="2" t="s">
        <v>1627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1628</v>
      </c>
      <c r="J1414" s="2" t="s">
        <v>1629</v>
      </c>
      <c r="L1414" s="2" t="s">
        <v>294</v>
      </c>
      <c r="M1414" s="2" t="s">
        <v>291</v>
      </c>
      <c r="O1414" s="2" t="s">
        <v>1630</v>
      </c>
      <c r="P1414" s="2" t="s">
        <v>283</v>
      </c>
      <c r="Q1414" s="2" t="s">
        <v>1631</v>
      </c>
      <c r="R1414" s="2" t="s">
        <v>1632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3233</v>
      </c>
      <c r="AA1414" s="2" t="s">
        <v>72</v>
      </c>
      <c r="AB1414" s="2" t="s">
        <v>1605</v>
      </c>
      <c r="AC1414" s="2" t="s">
        <v>1605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1627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1628</v>
      </c>
      <c r="J1415" s="2" t="s">
        <v>1629</v>
      </c>
      <c r="L1415" s="2" t="s">
        <v>294</v>
      </c>
      <c r="M1415" s="2" t="s">
        <v>1174</v>
      </c>
      <c r="O1415" s="2" t="s">
        <v>1633</v>
      </c>
      <c r="P1415" s="2" t="s">
        <v>283</v>
      </c>
      <c r="Q1415" s="2" t="s">
        <v>1634</v>
      </c>
      <c r="R1415" s="2" t="s">
        <v>1635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3233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1627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1628</v>
      </c>
      <c r="J1416" s="2" t="s">
        <v>1629</v>
      </c>
      <c r="L1416" s="2" t="s">
        <v>294</v>
      </c>
      <c r="M1416" s="2" t="s">
        <v>1174</v>
      </c>
      <c r="O1416" s="2" t="s">
        <v>1633</v>
      </c>
      <c r="P1416" s="2" t="s">
        <v>283</v>
      </c>
      <c r="Q1416" s="2" t="s">
        <v>1636</v>
      </c>
      <c r="R1416" s="2" t="s">
        <v>1637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3233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1278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hidden="1" x14ac:dyDescent="0.2">
      <c r="A1418" s="2">
        <v>2025</v>
      </c>
      <c r="B1418" s="2">
        <v>7</v>
      </c>
      <c r="D1418" s="2" t="s">
        <v>1278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hidden="1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3233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1293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hidden="1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1638</v>
      </c>
      <c r="R1421" s="2" t="s">
        <v>1639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3233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hidden="1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3233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3233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3233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3233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3233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3233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hidden="1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3233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hidden="1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3233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3233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3233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hidden="1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hidden="1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3388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hidden="1" x14ac:dyDescent="0.2">
      <c r="A1436" s="2">
        <v>2025</v>
      </c>
      <c r="B1436" s="2">
        <v>7</v>
      </c>
      <c r="C1436" s="2" t="s">
        <v>3408</v>
      </c>
      <c r="D1436" s="2" t="s">
        <v>1640</v>
      </c>
      <c r="E1436" s="2" t="s">
        <v>2452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1641</v>
      </c>
      <c r="R1436" s="2" t="s">
        <v>1642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3233</v>
      </c>
      <c r="AA1436" s="2" t="s">
        <v>72</v>
      </c>
      <c r="AB1436" s="2" t="s">
        <v>1605</v>
      </c>
      <c r="AC1436" s="2" t="s">
        <v>1605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1643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3308</v>
      </c>
      <c r="O1438" s="2" t="s">
        <v>1644</v>
      </c>
      <c r="P1438" s="2" t="s">
        <v>283</v>
      </c>
      <c r="Q1438" s="2" t="s">
        <v>1645</v>
      </c>
      <c r="R1438" s="2" t="s">
        <v>1646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3233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hidden="1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3308</v>
      </c>
      <c r="O1439" s="2" t="s">
        <v>1647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3233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1298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1299</v>
      </c>
      <c r="L1440" s="2" t="s">
        <v>340</v>
      </c>
      <c r="P1440" s="2" t="s">
        <v>73</v>
      </c>
      <c r="Q1440" s="2" t="s">
        <v>1451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3233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1298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1299</v>
      </c>
      <c r="L1441" s="2" t="s">
        <v>340</v>
      </c>
      <c r="P1441" s="2" t="s">
        <v>73</v>
      </c>
      <c r="Q1441" s="2" t="s">
        <v>1452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3233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1298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1299</v>
      </c>
      <c r="L1442" s="2" t="s">
        <v>340</v>
      </c>
      <c r="P1442" s="2" t="s">
        <v>73</v>
      </c>
      <c r="Q1442" s="2" t="s">
        <v>1648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3233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1298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1299</v>
      </c>
      <c r="L1443" s="2" t="s">
        <v>340</v>
      </c>
      <c r="M1443" s="2" t="s">
        <v>81</v>
      </c>
      <c r="P1443" s="2" t="s">
        <v>1040</v>
      </c>
      <c r="Q1443" s="2" t="s">
        <v>1649</v>
      </c>
      <c r="R1443" s="2" t="s">
        <v>1650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3233</v>
      </c>
      <c r="AA1443" s="2" t="s">
        <v>76</v>
      </c>
      <c r="AB1443" s="2" t="s">
        <v>77</v>
      </c>
      <c r="AC1443" s="2" t="s">
        <v>1040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1298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1299</v>
      </c>
      <c r="L1444" s="2" t="s">
        <v>340</v>
      </c>
      <c r="M1444" s="2" t="s">
        <v>81</v>
      </c>
      <c r="P1444" s="2" t="s">
        <v>1040</v>
      </c>
      <c r="Q1444" s="2" t="s">
        <v>1651</v>
      </c>
      <c r="R1444" s="2" t="s">
        <v>1652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3233</v>
      </c>
      <c r="AA1444" s="2" t="s">
        <v>76</v>
      </c>
      <c r="AB1444" s="2" t="s">
        <v>77</v>
      </c>
      <c r="AC1444" s="2" t="s">
        <v>1040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1298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1299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1298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1299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3233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3233</v>
      </c>
      <c r="AA1447" s="2" t="s">
        <v>46</v>
      </c>
      <c r="AB1447" s="2" t="s">
        <v>61</v>
      </c>
      <c r="AC1447" s="2" t="s">
        <v>3339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hidden="1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3233</v>
      </c>
      <c r="AA1448" s="2" t="s">
        <v>46</v>
      </c>
      <c r="AB1448" s="2" t="s">
        <v>61</v>
      </c>
      <c r="AC1448" s="2" t="s">
        <v>3339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hidden="1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3233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1653</v>
      </c>
      <c r="P1450" s="2" t="s">
        <v>115</v>
      </c>
      <c r="Q1450" s="2" t="s">
        <v>1654</v>
      </c>
      <c r="R1450" s="2" t="s">
        <v>1655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hidden="1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hidden="1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hidden="1" x14ac:dyDescent="0.2">
      <c r="A1453" s="2">
        <v>2025</v>
      </c>
      <c r="B1453" s="2">
        <v>7</v>
      </c>
      <c r="D1453" s="2" t="s">
        <v>1656</v>
      </c>
      <c r="E1453" s="2" t="s">
        <v>38</v>
      </c>
      <c r="F1453" s="2" t="s">
        <v>39</v>
      </c>
      <c r="H1453" s="2" t="s">
        <v>41</v>
      </c>
      <c r="I1453" s="2" t="s">
        <v>1657</v>
      </c>
      <c r="J1453" s="2" t="s">
        <v>1658</v>
      </c>
      <c r="L1453" s="2" t="s">
        <v>113</v>
      </c>
      <c r="M1453" s="2" t="s">
        <v>40</v>
      </c>
      <c r="O1453" s="2" t="s">
        <v>1659</v>
      </c>
      <c r="P1453" s="2" t="s">
        <v>115</v>
      </c>
      <c r="Q1453" s="2" t="s">
        <v>1660</v>
      </c>
      <c r="R1453" s="2" t="s">
        <v>1661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1656</v>
      </c>
      <c r="E1454" s="2" t="s">
        <v>38</v>
      </c>
      <c r="F1454" s="2" t="s">
        <v>39</v>
      </c>
      <c r="H1454" s="2" t="s">
        <v>41</v>
      </c>
      <c r="I1454" s="2" t="s">
        <v>1657</v>
      </c>
      <c r="J1454" s="2" t="s">
        <v>1658</v>
      </c>
      <c r="L1454" s="2" t="s">
        <v>113</v>
      </c>
      <c r="M1454" s="2" t="s">
        <v>40</v>
      </c>
      <c r="O1454" s="2" t="s">
        <v>1659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hidden="1" x14ac:dyDescent="0.2">
      <c r="A1455" s="2">
        <v>2025</v>
      </c>
      <c r="B1455" s="2">
        <v>7</v>
      </c>
      <c r="D1455" s="2" t="s">
        <v>1656</v>
      </c>
      <c r="E1455" s="2" t="s">
        <v>38</v>
      </c>
      <c r="F1455" s="2" t="s">
        <v>39</v>
      </c>
      <c r="H1455" s="2" t="s">
        <v>41</v>
      </c>
      <c r="I1455" s="2" t="s">
        <v>1657</v>
      </c>
      <c r="J1455" s="2" t="s">
        <v>1658</v>
      </c>
      <c r="L1455" s="2" t="s">
        <v>113</v>
      </c>
      <c r="M1455" s="2" t="s">
        <v>40</v>
      </c>
      <c r="O1455" s="2" t="s">
        <v>1659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hidden="1" x14ac:dyDescent="0.2">
      <c r="A1456" s="2">
        <v>2025</v>
      </c>
      <c r="B1456" s="2">
        <v>7</v>
      </c>
      <c r="D1456" s="2" t="s">
        <v>1305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hidden="1" x14ac:dyDescent="0.2">
      <c r="A1457" s="2">
        <v>2025</v>
      </c>
      <c r="B1457" s="2">
        <v>7</v>
      </c>
      <c r="D1457" s="2" t="s">
        <v>1662</v>
      </c>
      <c r="P1457" s="2" t="s">
        <v>283</v>
      </c>
      <c r="Q1457" s="2" t="s">
        <v>1515</v>
      </c>
      <c r="R1457" s="2" t="s">
        <v>1516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3233</v>
      </c>
      <c r="AA1457" s="2" t="s">
        <v>72</v>
      </c>
      <c r="AB1457" s="2" t="s">
        <v>1605</v>
      </c>
      <c r="AC1457" s="2" t="s">
        <v>1605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1663</v>
      </c>
      <c r="P1458" s="2" t="s">
        <v>283</v>
      </c>
      <c r="Q1458" s="2" t="s">
        <v>1593</v>
      </c>
      <c r="R1458" s="2" t="s">
        <v>1594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3233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1663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hidden="1" x14ac:dyDescent="0.2">
      <c r="A1460" s="2">
        <v>2025</v>
      </c>
      <c r="B1460" s="2">
        <v>7</v>
      </c>
      <c r="D1460" s="2" t="s">
        <v>1664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1664</v>
      </c>
      <c r="P1461" s="2" t="s">
        <v>115</v>
      </c>
      <c r="Q1461" s="2" t="s">
        <v>1335</v>
      </c>
      <c r="R1461" s="2" t="s">
        <v>1336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hidden="1" x14ac:dyDescent="0.2">
      <c r="A1462" s="2">
        <v>2025</v>
      </c>
      <c r="B1462" s="2">
        <v>7</v>
      </c>
      <c r="D1462" s="2" t="s">
        <v>1665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3388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hidden="1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3233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hidden="1" x14ac:dyDescent="0.2">
      <c r="A1464" s="2">
        <v>2025</v>
      </c>
      <c r="B1464" s="2">
        <v>7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3252</v>
      </c>
      <c r="J1464" s="2" t="s">
        <v>3253</v>
      </c>
      <c r="K1464" s="2">
        <v>96179412</v>
      </c>
      <c r="L1464" s="2" t="s">
        <v>462</v>
      </c>
      <c r="M1464" s="2" t="s">
        <v>40</v>
      </c>
      <c r="O1464" s="2" t="s">
        <v>3260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3252</v>
      </c>
      <c r="J1465" s="2" t="s">
        <v>3253</v>
      </c>
      <c r="K1465" s="2">
        <v>96179412</v>
      </c>
      <c r="L1465" s="2" t="s">
        <v>462</v>
      </c>
      <c r="M1465" s="2" t="s">
        <v>40</v>
      </c>
      <c r="O1465" s="2" t="s">
        <v>3260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hidden="1" x14ac:dyDescent="0.2">
      <c r="A1466" s="2">
        <v>2025</v>
      </c>
      <c r="B1466" s="2">
        <v>7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3252</v>
      </c>
      <c r="J1466" s="2" t="s">
        <v>3253</v>
      </c>
      <c r="K1466" s="2">
        <v>96179412</v>
      </c>
      <c r="L1466" s="2" t="s">
        <v>462</v>
      </c>
      <c r="M1466" s="2" t="s">
        <v>40</v>
      </c>
      <c r="O1466" s="2" t="s">
        <v>3260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hidden="1" x14ac:dyDescent="0.2">
      <c r="A1467" s="2">
        <v>2025</v>
      </c>
      <c r="B1467" s="2">
        <v>7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3233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3233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hidden="1" x14ac:dyDescent="0.2">
      <c r="A1469" s="2">
        <v>2025</v>
      </c>
      <c r="B1469" s="2">
        <v>7</v>
      </c>
      <c r="D1469" s="2" t="s">
        <v>1666</v>
      </c>
      <c r="P1469" s="2" t="s">
        <v>283</v>
      </c>
      <c r="Q1469" s="2" t="s">
        <v>1667</v>
      </c>
      <c r="R1469" s="2" t="s">
        <v>1668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2647</v>
      </c>
      <c r="AC1469" s="2" t="s">
        <v>1330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1666</v>
      </c>
      <c r="P1470" s="2" t="s">
        <v>283</v>
      </c>
      <c r="Q1470" s="2" t="s">
        <v>1669</v>
      </c>
      <c r="R1470" s="2" t="s">
        <v>1670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2647</v>
      </c>
      <c r="AC1470" s="2" t="s">
        <v>1330</v>
      </c>
      <c r="AF1470" s="2">
        <f t="shared" si="168"/>
        <v>0</v>
      </c>
      <c r="AJ1470" s="2">
        <f t="shared" si="169"/>
        <v>0</v>
      </c>
    </row>
    <row r="1471" spans="1:38" hidden="1" x14ac:dyDescent="0.2">
      <c r="A1471" s="2">
        <v>2025</v>
      </c>
      <c r="B1471" s="2">
        <v>7</v>
      </c>
      <c r="D1471" s="2" t="s">
        <v>923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hidden="1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hidden="1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hidden="1" x14ac:dyDescent="0.2">
      <c r="A1474" s="2">
        <v>2025</v>
      </c>
      <c r="B1474" s="2">
        <v>6</v>
      </c>
      <c r="D1474" s="2" t="s">
        <v>1671</v>
      </c>
      <c r="P1474" s="2" t="s">
        <v>283</v>
      </c>
      <c r="Q1474" s="2" t="s">
        <v>1439</v>
      </c>
      <c r="R1474" s="2" t="s">
        <v>1440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3233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hidden="1" x14ac:dyDescent="0.2">
      <c r="A1475" s="2">
        <v>2025</v>
      </c>
      <c r="B1475" s="2">
        <v>6</v>
      </c>
      <c r="D1475" s="2" t="s">
        <v>1671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3233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1671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3233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1671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3233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1671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3233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1672</v>
      </c>
      <c r="R1479" s="2" t="s">
        <v>1673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3233</v>
      </c>
      <c r="AA1479" s="2" t="s">
        <v>76</v>
      </c>
      <c r="AB1479" s="2" t="s">
        <v>77</v>
      </c>
      <c r="AC1479" s="2" t="s">
        <v>1040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1674</v>
      </c>
      <c r="R1480" s="2" t="s">
        <v>1675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3233</v>
      </c>
      <c r="AA1480" s="2" t="s">
        <v>1043</v>
      </c>
      <c r="AB1480" s="2" t="s">
        <v>1044</v>
      </c>
      <c r="AC1480" s="2" t="s">
        <v>1040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1676</v>
      </c>
      <c r="R1481" s="2" t="s">
        <v>1677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3233</v>
      </c>
      <c r="AA1481" s="2" t="s">
        <v>1043</v>
      </c>
      <c r="AB1481" s="2" t="s">
        <v>1044</v>
      </c>
      <c r="AC1481" s="2" t="s">
        <v>1040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1671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hidden="1" x14ac:dyDescent="0.2">
      <c r="A1483" s="2">
        <v>2025</v>
      </c>
      <c r="B1483" s="2">
        <v>6</v>
      </c>
      <c r="D1483" s="2" t="s">
        <v>1671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3233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hidden="1" x14ac:dyDescent="0.2">
      <c r="A1484" s="2">
        <v>2025</v>
      </c>
      <c r="B1484" s="2">
        <v>6</v>
      </c>
      <c r="D1484" s="2" t="s">
        <v>1678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3233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1678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3233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1678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3233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hidden="1" x14ac:dyDescent="0.2">
      <c r="A1487" s="2">
        <v>2025</v>
      </c>
      <c r="B1487" s="2">
        <v>6</v>
      </c>
      <c r="D1487" s="2" t="s">
        <v>1678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3233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hidden="1" x14ac:dyDescent="0.2">
      <c r="A1488" s="2">
        <v>2025</v>
      </c>
      <c r="B1488" s="2">
        <v>6</v>
      </c>
      <c r="D1488" s="2" t="s">
        <v>1460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1460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hidden="1" x14ac:dyDescent="0.2">
      <c r="A1490" s="2">
        <v>2025</v>
      </c>
      <c r="B1490" s="2">
        <v>6</v>
      </c>
      <c r="D1490" s="2" t="s">
        <v>1478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3233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1478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3233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1478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3233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1679</v>
      </c>
      <c r="P1493" s="2" t="s">
        <v>115</v>
      </c>
      <c r="Q1493" s="2" t="s">
        <v>1253</v>
      </c>
      <c r="R1493" s="2" t="s">
        <v>1254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hidden="1" x14ac:dyDescent="0.2">
      <c r="A1494" s="2">
        <v>2025</v>
      </c>
      <c r="B1494" s="2">
        <v>6</v>
      </c>
      <c r="D1494" s="2" t="s">
        <v>1679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1680</v>
      </c>
      <c r="P1495" s="2" t="s">
        <v>115</v>
      </c>
      <c r="Q1495" s="2" t="s">
        <v>1386</v>
      </c>
      <c r="R1495" s="2" t="s">
        <v>1387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hidden="1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1681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1681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1579</v>
      </c>
      <c r="AB1498" s="2" t="s">
        <v>389</v>
      </c>
      <c r="AC1498" s="2" t="s">
        <v>1330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1334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3388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hidden="1" x14ac:dyDescent="0.2">
      <c r="A1500" s="2">
        <v>2025</v>
      </c>
      <c r="B1500" s="2">
        <v>6</v>
      </c>
      <c r="D1500" s="2" t="s">
        <v>1487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1201</v>
      </c>
      <c r="AB1500" s="2" t="s">
        <v>120</v>
      </c>
      <c r="AC1500" s="2" t="s">
        <v>1196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hidden="1" x14ac:dyDescent="0.2">
      <c r="A1501" s="2">
        <v>2025</v>
      </c>
      <c r="B1501" s="2">
        <v>6</v>
      </c>
      <c r="D1501" s="2" t="s">
        <v>1487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hidden="1" x14ac:dyDescent="0.2">
      <c r="A1502" s="2">
        <v>2025</v>
      </c>
      <c r="B1502" s="2">
        <v>6</v>
      </c>
      <c r="C1502" s="2" t="s">
        <v>3425</v>
      </c>
      <c r="D1502" s="2" t="s">
        <v>3424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hidden="1" x14ac:dyDescent="0.2">
      <c r="A1503" s="2">
        <v>2025</v>
      </c>
      <c r="B1503" s="2">
        <v>6</v>
      </c>
      <c r="C1503" s="2" t="s">
        <v>3425</v>
      </c>
      <c r="D1503" s="2" t="s">
        <v>3424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hidden="1" x14ac:dyDescent="0.2">
      <c r="A1504" s="2">
        <v>2025</v>
      </c>
      <c r="B1504" s="2">
        <v>6</v>
      </c>
      <c r="C1504" s="2" t="s">
        <v>3425</v>
      </c>
      <c r="D1504" s="2" t="s">
        <v>3424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2514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hidden="1" x14ac:dyDescent="0.2">
      <c r="A1505" s="2">
        <v>2025</v>
      </c>
      <c r="B1505" s="2">
        <v>6</v>
      </c>
      <c r="C1505" s="2" t="s">
        <v>3425</v>
      </c>
      <c r="D1505" s="2" t="s">
        <v>3424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hidden="1" x14ac:dyDescent="0.2">
      <c r="A1506" s="2">
        <v>2025</v>
      </c>
      <c r="B1506" s="2">
        <v>6</v>
      </c>
      <c r="C1506" s="2" t="s">
        <v>3425</v>
      </c>
      <c r="D1506" s="2" t="s">
        <v>3424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1682</v>
      </c>
      <c r="R1506" s="2" t="s">
        <v>1683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hidden="1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1684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hidden="1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1685</v>
      </c>
      <c r="P1508" s="2" t="s">
        <v>283</v>
      </c>
      <c r="Q1508" s="2" t="s">
        <v>1593</v>
      </c>
      <c r="R1508" s="2" t="s">
        <v>1594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3233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3331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1686</v>
      </c>
      <c r="R1510" s="2" t="s">
        <v>1687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1688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3233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1688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3233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1689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3233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1689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3233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hidden="1" x14ac:dyDescent="0.2">
      <c r="A1518" s="2">
        <v>2025</v>
      </c>
      <c r="B1518" s="2">
        <v>6</v>
      </c>
      <c r="D1518" s="2" t="s">
        <v>1690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hidden="1" x14ac:dyDescent="0.2">
      <c r="A1519" s="2">
        <v>2025</v>
      </c>
      <c r="B1519" s="2">
        <v>6</v>
      </c>
      <c r="D1519" s="2" t="s">
        <v>1690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hidden="1" x14ac:dyDescent="0.2">
      <c r="A1520" s="2">
        <v>2025</v>
      </c>
      <c r="B1520" s="2">
        <v>6</v>
      </c>
      <c r="D1520" s="2" t="s">
        <v>1690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3388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hidden="1" x14ac:dyDescent="0.2">
      <c r="A1521" s="2">
        <v>2025</v>
      </c>
      <c r="B1521" s="2">
        <v>6</v>
      </c>
      <c r="D1521" s="2" t="s">
        <v>1691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3233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1691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3233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hidden="1" x14ac:dyDescent="0.2">
      <c r="A1523" s="2">
        <v>2025</v>
      </c>
      <c r="B1523" s="2">
        <v>6</v>
      </c>
      <c r="D1523" s="2" t="s">
        <v>1353</v>
      </c>
      <c r="P1523" s="2" t="s">
        <v>283</v>
      </c>
      <c r="Q1523" s="2" t="s">
        <v>1692</v>
      </c>
      <c r="R1523" s="2" t="s">
        <v>1693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3233</v>
      </c>
      <c r="AA1523" s="2" t="s">
        <v>72</v>
      </c>
      <c r="AB1523" s="2" t="s">
        <v>1605</v>
      </c>
      <c r="AC1523" s="2" t="s">
        <v>1605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1694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3233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1694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3233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hidden="1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1695</v>
      </c>
      <c r="R1526" s="2" t="s">
        <v>1696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hidden="1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hidden="1" x14ac:dyDescent="0.2">
      <c r="A1529" s="2">
        <v>2025</v>
      </c>
      <c r="B1529" s="2">
        <v>6</v>
      </c>
      <c r="C1529" s="2" t="s">
        <v>3331</v>
      </c>
      <c r="D1529" s="2" t="s">
        <v>1358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1359</v>
      </c>
      <c r="L1529" s="2" t="s">
        <v>419</v>
      </c>
      <c r="M1529" s="2" t="s">
        <v>41</v>
      </c>
      <c r="P1529" s="2" t="s">
        <v>283</v>
      </c>
      <c r="Q1529" s="2" t="s">
        <v>1697</v>
      </c>
      <c r="R1529" s="2" t="s">
        <v>1698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3233</v>
      </c>
      <c r="AA1529" s="2" t="s">
        <v>1579</v>
      </c>
      <c r="AB1529" s="2" t="s">
        <v>389</v>
      </c>
      <c r="AC1529" s="2" t="s">
        <v>1330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hidden="1" x14ac:dyDescent="0.2">
      <c r="A1530" s="2">
        <v>2025</v>
      </c>
      <c r="B1530" s="2">
        <v>6</v>
      </c>
      <c r="D1530" s="2" t="s">
        <v>1699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1700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1700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hidden="1" x14ac:dyDescent="0.2">
      <c r="A1536" s="2">
        <v>2025</v>
      </c>
      <c r="B1536" s="2">
        <v>6</v>
      </c>
      <c r="D1536" s="2" t="s">
        <v>1701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1702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3233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1702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3233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hidden="1" x14ac:dyDescent="0.2">
      <c r="A1539" s="2">
        <v>2025</v>
      </c>
      <c r="B1539" s="2">
        <v>6</v>
      </c>
      <c r="C1539" s="2" t="s">
        <v>3401</v>
      </c>
      <c r="D1539" s="2" t="s">
        <v>3415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1703</v>
      </c>
      <c r="P1539" s="2" t="s">
        <v>115</v>
      </c>
      <c r="Q1539" s="2" t="s">
        <v>1704</v>
      </c>
      <c r="R1539" s="2" t="s">
        <v>1705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3401</v>
      </c>
      <c r="D1540" s="2" t="s">
        <v>3415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1703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3401</v>
      </c>
      <c r="D1541" s="2" t="s">
        <v>3415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1703</v>
      </c>
      <c r="P1541" s="2" t="s">
        <v>283</v>
      </c>
      <c r="Q1541" s="2" t="s">
        <v>1706</v>
      </c>
      <c r="R1541" s="2" t="s">
        <v>1707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3233</v>
      </c>
      <c r="AA1541" s="2" t="s">
        <v>72</v>
      </c>
      <c r="AB1541" s="2" t="s">
        <v>1605</v>
      </c>
      <c r="AC1541" s="2" t="s">
        <v>1605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3401</v>
      </c>
      <c r="D1542" s="2" t="s">
        <v>3415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1703</v>
      </c>
      <c r="P1542" s="2" t="s">
        <v>283</v>
      </c>
      <c r="Q1542" s="2" t="s">
        <v>1708</v>
      </c>
      <c r="R1542" s="2" t="s">
        <v>1709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3233</v>
      </c>
      <c r="AA1542" s="2" t="s">
        <v>72</v>
      </c>
      <c r="AB1542" s="2" t="s">
        <v>1605</v>
      </c>
      <c r="AC1542" s="2" t="s">
        <v>1605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3401</v>
      </c>
      <c r="D1543" s="2" t="s">
        <v>3415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1703</v>
      </c>
      <c r="P1543" s="2" t="s">
        <v>102</v>
      </c>
      <c r="Q1543" s="2" t="s">
        <v>1710</v>
      </c>
      <c r="R1543" s="2" t="s">
        <v>1711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3401</v>
      </c>
      <c r="D1544" s="2" t="s">
        <v>3415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1703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2544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3233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1558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1559</v>
      </c>
      <c r="J1546" s="2" t="s">
        <v>1560</v>
      </c>
      <c r="L1546" s="2" t="s">
        <v>100</v>
      </c>
      <c r="P1546" s="2" t="s">
        <v>115</v>
      </c>
      <c r="Q1546" s="2" t="s">
        <v>1712</v>
      </c>
      <c r="R1546" s="2" t="s">
        <v>1713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hidden="1" x14ac:dyDescent="0.2">
      <c r="A1547" s="2">
        <v>2025</v>
      </c>
      <c r="B1547" s="2">
        <v>6</v>
      </c>
      <c r="D1547" s="2" t="s">
        <v>1558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1559</v>
      </c>
      <c r="J1547" s="2" t="s">
        <v>1560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3233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1558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1559</v>
      </c>
      <c r="J1548" s="2" t="s">
        <v>1560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hidden="1" x14ac:dyDescent="0.2">
      <c r="A1549" s="2">
        <v>2025</v>
      </c>
      <c r="B1549" s="2">
        <v>6</v>
      </c>
      <c r="D1549" s="2" t="s">
        <v>1558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1559</v>
      </c>
      <c r="J1549" s="2" t="s">
        <v>1560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hidden="1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1380</v>
      </c>
      <c r="M1551" s="2" t="s">
        <v>81</v>
      </c>
      <c r="O1551" s="2" t="s">
        <v>3207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3233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1380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3233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3233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3233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hidden="1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hidden="1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hidden="1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hidden="1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hidden="1" x14ac:dyDescent="0.2">
      <c r="A1559" s="2">
        <v>2025</v>
      </c>
      <c r="B1559" s="2">
        <v>6</v>
      </c>
      <c r="D1559" s="2" t="s">
        <v>823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hidden="1" x14ac:dyDescent="0.2">
      <c r="A1560" s="2">
        <v>2025</v>
      </c>
      <c r="B1560" s="2">
        <v>6</v>
      </c>
      <c r="D1560" s="2" t="s">
        <v>823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hidden="1" x14ac:dyDescent="0.2">
      <c r="A1561" s="2">
        <v>2025</v>
      </c>
      <c r="B1561" s="2">
        <v>6</v>
      </c>
      <c r="D1561" s="2" t="s">
        <v>1570</v>
      </c>
      <c r="P1561" s="2" t="s">
        <v>283</v>
      </c>
      <c r="Q1561" s="2" t="s">
        <v>1439</v>
      </c>
      <c r="R1561" s="2" t="s">
        <v>1440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3233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1570</v>
      </c>
      <c r="P1562" s="2" t="s">
        <v>283</v>
      </c>
      <c r="Q1562" s="2" t="s">
        <v>1593</v>
      </c>
      <c r="R1562" s="2" t="s">
        <v>1594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3233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1714</v>
      </c>
      <c r="J1563" s="2" t="s">
        <v>1715</v>
      </c>
      <c r="L1563" s="2" t="s">
        <v>340</v>
      </c>
      <c r="M1563" s="2" t="s">
        <v>40</v>
      </c>
      <c r="O1563" s="2" t="s">
        <v>1716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hidden="1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hidden="1" x14ac:dyDescent="0.2">
      <c r="A1567" s="2">
        <v>2025</v>
      </c>
      <c r="B1567" s="2">
        <v>6</v>
      </c>
      <c r="D1567" s="2" t="s">
        <v>1250</v>
      </c>
      <c r="P1567" s="2" t="s">
        <v>73</v>
      </c>
      <c r="Q1567" s="2" t="s">
        <v>1251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3233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D1568" s="2" t="s">
        <v>1250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3233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hidden="1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89"/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355.75549999999998</v>
      </c>
      <c r="AL1569" s="5">
        <f t="shared" si="185"/>
        <v>0.22234718749999999</v>
      </c>
    </row>
    <row r="1570" spans="1:38" hidden="1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hidden="1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1717</v>
      </c>
      <c r="R1573" s="2" t="s">
        <v>1718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hidden="1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hidden="1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hidden="1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hidden="1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1719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3233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1720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hidden="1" x14ac:dyDescent="0.2">
      <c r="A1579" s="2">
        <v>2025</v>
      </c>
      <c r="B1579" s="2">
        <v>6</v>
      </c>
      <c r="D1579" s="2" t="s">
        <v>1720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hidden="1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1439</v>
      </c>
      <c r="R1580" s="2" t="s">
        <v>1440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3233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hidden="1" x14ac:dyDescent="0.2">
      <c r="A1582" s="2">
        <v>2025</v>
      </c>
      <c r="B1582" s="2">
        <v>6</v>
      </c>
      <c r="D1582" s="2" t="s">
        <v>1721</v>
      </c>
      <c r="P1582" s="2" t="s">
        <v>115</v>
      </c>
      <c r="Q1582" s="2" t="s">
        <v>1253</v>
      </c>
      <c r="R1582" s="2" t="s">
        <v>1254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hidden="1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hidden="1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hidden="1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1722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hidden="1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1723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3233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1723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3233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3140</v>
      </c>
      <c r="L1589" s="2" t="s">
        <v>178</v>
      </c>
      <c r="M1589" s="2" t="s">
        <v>41</v>
      </c>
      <c r="O1589" s="2" t="s">
        <v>3143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3233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-1244.2445</v>
      </c>
      <c r="AL1590" s="18">
        <v>-1</v>
      </c>
    </row>
    <row r="1591" spans="1:38" hidden="1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hidden="1" x14ac:dyDescent="0.2">
      <c r="A1592" s="2">
        <v>2025</v>
      </c>
      <c r="B1592" s="2">
        <v>6</v>
      </c>
      <c r="D1592" s="2" t="s">
        <v>1595</v>
      </c>
      <c r="P1592" s="2" t="s">
        <v>115</v>
      </c>
      <c r="Q1592" s="2" t="s">
        <v>1565</v>
      </c>
      <c r="R1592" s="2" t="s">
        <v>1566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hidden="1" x14ac:dyDescent="0.2">
      <c r="A1593" s="2">
        <v>2025</v>
      </c>
      <c r="B1593" s="2">
        <v>6</v>
      </c>
      <c r="D1593" s="2" t="s">
        <v>1595</v>
      </c>
      <c r="P1593" s="2" t="s">
        <v>115</v>
      </c>
      <c r="Q1593" s="2" t="s">
        <v>1596</v>
      </c>
      <c r="R1593" s="2" t="s">
        <v>1597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hidden="1" x14ac:dyDescent="0.2">
      <c r="A1594" s="2">
        <v>2025</v>
      </c>
      <c r="B1594" s="2">
        <v>6</v>
      </c>
      <c r="D1594" s="2" t="s">
        <v>1595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hidden="1" x14ac:dyDescent="0.2">
      <c r="A1595" s="2">
        <v>2025</v>
      </c>
      <c r="B1595" s="2">
        <v>6</v>
      </c>
      <c r="C1595" s="2" t="s">
        <v>3399</v>
      </c>
      <c r="D1595" s="2" t="s">
        <v>1724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1439</v>
      </c>
      <c r="R1595" s="2" t="s">
        <v>1440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3233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3401</v>
      </c>
      <c r="D1596" s="2" t="s">
        <v>1724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1447</v>
      </c>
      <c r="R1596" s="2" t="s">
        <v>1448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3233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hidden="1" x14ac:dyDescent="0.2">
      <c r="A1597" s="2">
        <v>2025</v>
      </c>
      <c r="B1597" s="2">
        <v>6</v>
      </c>
      <c r="D1597" s="2" t="s">
        <v>1725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3241</v>
      </c>
      <c r="J1597" s="2" t="s">
        <v>3242</v>
      </c>
      <c r="L1597" s="2" t="s">
        <v>572</v>
      </c>
      <c r="M1597" s="2" t="s">
        <v>81</v>
      </c>
      <c r="O1597" s="2" t="s">
        <v>3243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3233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1725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3241</v>
      </c>
      <c r="J1598" s="2" t="s">
        <v>3242</v>
      </c>
      <c r="L1598" s="2" t="s">
        <v>572</v>
      </c>
      <c r="M1598" s="2" t="s">
        <v>81</v>
      </c>
      <c r="O1598" s="2" t="s">
        <v>3243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3233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hidden="1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1515</v>
      </c>
      <c r="R1599" s="2" t="s">
        <v>1516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3233</v>
      </c>
      <c r="AA1599" s="2" t="s">
        <v>72</v>
      </c>
      <c r="AB1599" s="2" t="s">
        <v>1605</v>
      </c>
      <c r="AC1599" s="2" t="s">
        <v>1605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hidden="1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3233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3233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3233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hidden="1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3233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hidden="1" x14ac:dyDescent="0.2">
      <c r="A1605" s="2">
        <v>2025</v>
      </c>
      <c r="B1605" s="2">
        <v>6</v>
      </c>
      <c r="D1605" s="2" t="s">
        <v>1726</v>
      </c>
      <c r="P1605" s="2" t="s">
        <v>188</v>
      </c>
      <c r="Q1605" s="2" t="s">
        <v>1727</v>
      </c>
      <c r="R1605" s="2" t="s">
        <v>1728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1613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hidden="1" x14ac:dyDescent="0.2">
      <c r="A1606" s="2">
        <v>2025</v>
      </c>
      <c r="B1606" s="2">
        <v>6</v>
      </c>
      <c r="D1606" s="2" t="s">
        <v>1726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3388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hidden="1" x14ac:dyDescent="0.2">
      <c r="A1607" s="2">
        <v>2025</v>
      </c>
      <c r="B1607" s="2">
        <v>6</v>
      </c>
      <c r="D1607" s="2" t="s">
        <v>1421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2417</v>
      </c>
      <c r="J1607" s="2" t="s">
        <v>2418</v>
      </c>
      <c r="L1607" s="2" t="s">
        <v>202</v>
      </c>
      <c r="M1607" s="2" t="s">
        <v>81</v>
      </c>
      <c r="P1607" s="2" t="s">
        <v>1040</v>
      </c>
      <c r="Q1607" s="2" t="s">
        <v>1729</v>
      </c>
      <c r="R1607" s="2" t="s">
        <v>1730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3233</v>
      </c>
      <c r="AA1607" s="2" t="s">
        <v>76</v>
      </c>
      <c r="AB1607" s="2" t="s">
        <v>77</v>
      </c>
      <c r="AC1607" s="2" t="s">
        <v>1040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1421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2417</v>
      </c>
      <c r="J1608" s="2" t="s">
        <v>2418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3233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hidden="1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1731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3233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1732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3233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1733</v>
      </c>
      <c r="P1611" s="2" t="s">
        <v>1040</v>
      </c>
      <c r="Q1611" s="2" t="s">
        <v>1734</v>
      </c>
      <c r="R1611" s="2" t="s">
        <v>1735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3233</v>
      </c>
      <c r="AA1611" s="2" t="s">
        <v>76</v>
      </c>
      <c r="AB1611" s="2" t="s">
        <v>77</v>
      </c>
      <c r="AC1611" s="2" t="s">
        <v>1040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1733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3233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hidden="1" x14ac:dyDescent="0.2">
      <c r="A1613" s="2">
        <v>2025</v>
      </c>
      <c r="B1613" s="2">
        <v>6</v>
      </c>
      <c r="D1613" s="2" t="s">
        <v>1626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3233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1626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3233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1626</v>
      </c>
      <c r="P1615" s="2" t="s">
        <v>43</v>
      </c>
      <c r="Q1615" s="2" t="s">
        <v>1736</v>
      </c>
      <c r="R1615" s="2" t="s">
        <v>1737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3233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hidden="1" x14ac:dyDescent="0.2">
      <c r="A1616" s="2">
        <v>2025</v>
      </c>
      <c r="B1616" s="2">
        <v>6</v>
      </c>
      <c r="D1616" s="2" t="s">
        <v>1626</v>
      </c>
      <c r="P1616" s="2" t="s">
        <v>43</v>
      </c>
      <c r="Q1616" s="2" t="s">
        <v>1738</v>
      </c>
      <c r="R1616" s="2" t="s">
        <v>1739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3233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1740</v>
      </c>
      <c r="P1617" s="2" t="s">
        <v>115</v>
      </c>
      <c r="Q1617" s="2" t="s">
        <v>1741</v>
      </c>
      <c r="R1617" s="2" t="s">
        <v>1742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hidden="1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1740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hidden="1" x14ac:dyDescent="0.2">
      <c r="A1619" s="2">
        <v>2025</v>
      </c>
      <c r="B1619" s="2">
        <v>6</v>
      </c>
      <c r="D1619" s="2" t="s">
        <v>1743</v>
      </c>
      <c r="P1619" s="2" t="s">
        <v>115</v>
      </c>
      <c r="Q1619" s="2" t="s">
        <v>1744</v>
      </c>
      <c r="R1619" s="2" t="s">
        <v>1745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Z1619" s="2" t="s">
        <v>118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hidden="1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3233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3233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hidden="1" x14ac:dyDescent="0.2">
      <c r="A1624" s="2">
        <v>2025</v>
      </c>
      <c r="B1624" s="2">
        <v>6</v>
      </c>
      <c r="D1624" s="2" t="s">
        <v>1746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1747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hidden="1" x14ac:dyDescent="0.2">
      <c r="A1625" s="2">
        <v>2025</v>
      </c>
      <c r="B1625" s="2">
        <v>6</v>
      </c>
      <c r="D1625" s="2" t="s">
        <v>1746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1747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hidden="1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hidden="1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Z1629" s="2" t="s">
        <v>118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hidden="1" x14ac:dyDescent="0.2">
      <c r="A1630" s="2">
        <v>2025</v>
      </c>
      <c r="B1630" s="2">
        <v>6</v>
      </c>
      <c r="D1630" s="2" t="s">
        <v>1662</v>
      </c>
      <c r="P1630" s="2" t="s">
        <v>283</v>
      </c>
      <c r="Q1630" s="2" t="s">
        <v>1515</v>
      </c>
      <c r="R1630" s="2" t="s">
        <v>1516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3233</v>
      </c>
      <c r="AA1630" s="2" t="s">
        <v>72</v>
      </c>
      <c r="AB1630" s="2" t="s">
        <v>1605</v>
      </c>
      <c r="AC1630" s="2" t="s">
        <v>1605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1663</v>
      </c>
      <c r="P1631" s="2" t="s">
        <v>283</v>
      </c>
      <c r="Q1631" s="2" t="s">
        <v>1439</v>
      </c>
      <c r="R1631" s="2" t="s">
        <v>1440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3233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1748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Z1632" s="2" t="s">
        <v>118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hidden="1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2300</v>
      </c>
      <c r="J1633" s="2" t="s">
        <v>2301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2300</v>
      </c>
      <c r="J1634" s="2" t="s">
        <v>2301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hidden="1" x14ac:dyDescent="0.2">
      <c r="A1635" s="2">
        <v>2025</v>
      </c>
      <c r="B1635" s="2">
        <v>6</v>
      </c>
      <c r="D1635" s="2" t="s">
        <v>1749</v>
      </c>
      <c r="P1635" s="2" t="s">
        <v>283</v>
      </c>
      <c r="Q1635" s="2" t="s">
        <v>1750</v>
      </c>
      <c r="R1635" s="2" t="s">
        <v>1751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3233</v>
      </c>
      <c r="AA1635" s="2" t="s">
        <v>72</v>
      </c>
      <c r="AB1635" s="2" t="s">
        <v>1605</v>
      </c>
      <c r="AC1635" s="2" t="s">
        <v>1605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hidden="1" x14ac:dyDescent="0.2">
      <c r="A1636" s="2">
        <v>2025</v>
      </c>
      <c r="B1636" s="2">
        <v>6</v>
      </c>
      <c r="D1636" s="2" t="s">
        <v>1749</v>
      </c>
      <c r="P1636" s="2" t="s">
        <v>69</v>
      </c>
      <c r="Q1636" s="2" t="s">
        <v>1752</v>
      </c>
      <c r="R1636" s="2" t="s">
        <v>1753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3233</v>
      </c>
      <c r="AA1636" s="2" t="s">
        <v>72</v>
      </c>
      <c r="AB1636" s="2" t="s">
        <v>69</v>
      </c>
      <c r="AC1636" s="2" t="s">
        <v>3238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3233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3233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3233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1754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Z1640" s="2" t="s">
        <v>118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1755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1755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hidden="1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3233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3233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hidden="1" x14ac:dyDescent="0.2">
      <c r="A1645" s="2">
        <v>2025</v>
      </c>
      <c r="B1645" s="2">
        <v>8</v>
      </c>
      <c r="C1645" s="2" t="s">
        <v>3325</v>
      </c>
      <c r="D1645" s="2" t="s">
        <v>1756</v>
      </c>
      <c r="E1645" s="2" t="s">
        <v>38</v>
      </c>
      <c r="F1645" s="2" t="s">
        <v>39</v>
      </c>
      <c r="I1645" s="2" t="s">
        <v>3396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3233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3325</v>
      </c>
      <c r="D1646" s="2" t="s">
        <v>1756</v>
      </c>
      <c r="E1646" s="2" t="s">
        <v>38</v>
      </c>
      <c r="F1646" s="2" t="s">
        <v>39</v>
      </c>
      <c r="I1646" s="2" t="s">
        <v>3396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3233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hidden="1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1757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hidden="1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1757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hidden="1" x14ac:dyDescent="0.2">
      <c r="A1649" s="2">
        <v>2025</v>
      </c>
      <c r="B1649" s="2">
        <v>8</v>
      </c>
      <c r="C1649" s="2" t="s">
        <v>3325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1451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3233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3325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3233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hidden="1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1758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3233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1759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3233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1760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1760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1760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3121</v>
      </c>
      <c r="J1656" s="2" t="s">
        <v>3122</v>
      </c>
      <c r="L1656" s="2" t="s">
        <v>113</v>
      </c>
      <c r="M1656" s="2" t="s">
        <v>40</v>
      </c>
      <c r="O1656" s="2" t="s">
        <v>3124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2514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1761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3233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1762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3233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1762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3233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1761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1763</v>
      </c>
      <c r="P1661" s="2" t="s">
        <v>73</v>
      </c>
      <c r="Q1661" s="2" t="s">
        <v>1764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3233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1763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1763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3233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hidden="1" x14ac:dyDescent="0.2">
      <c r="A1664" s="2">
        <v>2025</v>
      </c>
      <c r="B1664" s="2">
        <v>8</v>
      </c>
      <c r="D1664" s="2" t="s">
        <v>1765</v>
      </c>
      <c r="P1664" s="2" t="s">
        <v>115</v>
      </c>
      <c r="Q1664" s="2" t="s">
        <v>1766</v>
      </c>
      <c r="R1664" s="2" t="s">
        <v>1767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hidden="1" x14ac:dyDescent="0.2">
      <c r="A1665" s="2">
        <v>2025</v>
      </c>
      <c r="B1665" s="2">
        <v>8</v>
      </c>
      <c r="D1665" s="2" t="s">
        <v>1765</v>
      </c>
      <c r="P1665" s="2" t="s">
        <v>115</v>
      </c>
      <c r="Q1665" s="2" t="s">
        <v>1768</v>
      </c>
      <c r="R1665" s="2" t="s">
        <v>1769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hidden="1" x14ac:dyDescent="0.2">
      <c r="A1666" s="2">
        <v>2025</v>
      </c>
      <c r="B1666" s="2">
        <v>8</v>
      </c>
      <c r="D1666" s="2" t="s">
        <v>1770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hidden="1" x14ac:dyDescent="0.2">
      <c r="A1667" s="2">
        <v>2025</v>
      </c>
      <c r="B1667" s="2">
        <v>8</v>
      </c>
      <c r="D1667" s="2" t="s">
        <v>1770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hidden="1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3233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3233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hidden="1" x14ac:dyDescent="0.2">
      <c r="A1672" s="2">
        <v>2025</v>
      </c>
      <c r="B1672" s="2">
        <v>8</v>
      </c>
      <c r="D1672" s="2" t="s">
        <v>1771</v>
      </c>
      <c r="P1672" s="2" t="s">
        <v>1609</v>
      </c>
      <c r="Q1672" s="2" t="s">
        <v>1772</v>
      </c>
      <c r="R1672" s="2" t="s">
        <v>1773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1609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hidden="1" x14ac:dyDescent="0.2">
      <c r="A1673" s="2">
        <v>2025</v>
      </c>
      <c r="B1673" s="2">
        <v>8</v>
      </c>
      <c r="D1673" s="2" t="s">
        <v>1771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hidden="1" x14ac:dyDescent="0.2">
      <c r="A1674" s="2">
        <v>2025</v>
      </c>
      <c r="B1674" s="2">
        <v>8</v>
      </c>
      <c r="D1674" s="2" t="s">
        <v>1771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hidden="1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1774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3233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1774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3233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hidden="1" x14ac:dyDescent="0.2">
      <c r="A1677" s="2">
        <v>2025</v>
      </c>
      <c r="B1677" s="2">
        <v>8</v>
      </c>
      <c r="D1677" s="2" t="s">
        <v>1775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hidden="1" x14ac:dyDescent="0.2">
      <c r="A1678" s="2">
        <v>2025</v>
      </c>
      <c r="B1678" s="2">
        <v>8</v>
      </c>
      <c r="D1678" s="2" t="s">
        <v>1775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hidden="1" x14ac:dyDescent="0.2">
      <c r="A1679" s="2">
        <v>2025</v>
      </c>
      <c r="B1679" s="2">
        <v>8</v>
      </c>
      <c r="D1679" s="2" t="s">
        <v>1358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1359</v>
      </c>
      <c r="L1679" s="2" t="s">
        <v>419</v>
      </c>
      <c r="P1679" s="2" t="s">
        <v>283</v>
      </c>
      <c r="Q1679" s="2" t="s">
        <v>1776</v>
      </c>
      <c r="R1679" s="2" t="s">
        <v>1777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3233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hidden="1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1778</v>
      </c>
      <c r="R1680" s="2" t="s">
        <v>1779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hidden="1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3388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hidden="1" x14ac:dyDescent="0.2">
      <c r="A1684" s="2">
        <v>2025</v>
      </c>
      <c r="B1684" s="2">
        <v>8</v>
      </c>
      <c r="D1684" s="2" t="s">
        <v>1780</v>
      </c>
      <c r="P1684" s="2" t="s">
        <v>102</v>
      </c>
      <c r="Q1684" s="2" t="s">
        <v>1781</v>
      </c>
      <c r="R1684" s="2" t="s">
        <v>1782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1783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1783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hidden="1" x14ac:dyDescent="0.2">
      <c r="A1687" s="2">
        <v>2025</v>
      </c>
      <c r="B1687" s="2">
        <v>8</v>
      </c>
      <c r="D1687" s="2" t="s">
        <v>1784</v>
      </c>
      <c r="P1687" s="2" t="s">
        <v>283</v>
      </c>
      <c r="Q1687" s="2" t="s">
        <v>1785</v>
      </c>
      <c r="R1687" s="2" t="s">
        <v>1786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1330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hidden="1" x14ac:dyDescent="0.2">
      <c r="A1688" s="2">
        <v>2025</v>
      </c>
      <c r="B1688" s="2">
        <v>8</v>
      </c>
      <c r="D1688" s="2" t="s">
        <v>1784</v>
      </c>
      <c r="P1688" s="2" t="s">
        <v>283</v>
      </c>
      <c r="Q1688" s="2" t="s">
        <v>1787</v>
      </c>
      <c r="R1688" s="2" t="s">
        <v>1788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3233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hidden="1" x14ac:dyDescent="0.2">
      <c r="A1689" s="2">
        <v>2025</v>
      </c>
      <c r="B1689" s="2">
        <v>8</v>
      </c>
      <c r="D1689" s="2" t="s">
        <v>1784</v>
      </c>
      <c r="P1689" s="2" t="s">
        <v>283</v>
      </c>
      <c r="Q1689" s="2" t="s">
        <v>1789</v>
      </c>
      <c r="R1689" s="2" t="s">
        <v>1788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3233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hidden="1" x14ac:dyDescent="0.2">
      <c r="A1690" s="2">
        <v>2025</v>
      </c>
      <c r="B1690" s="2">
        <v>8</v>
      </c>
      <c r="D1690" s="2" t="s">
        <v>1784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1790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3233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3233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hidden="1" x14ac:dyDescent="0.2">
      <c r="A1693" s="2">
        <v>2025</v>
      </c>
      <c r="B1693" s="2">
        <v>8</v>
      </c>
      <c r="D1693" s="2" t="s">
        <v>1791</v>
      </c>
      <c r="P1693" s="2" t="s">
        <v>3237</v>
      </c>
      <c r="Q1693" s="2" t="s">
        <v>1792</v>
      </c>
      <c r="R1693" s="2" t="s">
        <v>1793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3237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1794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3388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hidden="1" x14ac:dyDescent="0.2">
      <c r="A1698" s="2">
        <v>2025</v>
      </c>
      <c r="B1698" s="2">
        <v>8</v>
      </c>
      <c r="D1698" s="2" t="s">
        <v>1795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hidden="1" x14ac:dyDescent="0.2">
      <c r="A1699" s="2">
        <v>2025</v>
      </c>
      <c r="B1699" s="2">
        <v>8</v>
      </c>
      <c r="D1699" s="2" t="s">
        <v>1795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hidden="1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3233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3233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3418</v>
      </c>
      <c r="D1702" s="2" t="s">
        <v>3417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1796</v>
      </c>
      <c r="P1702" s="2" t="s">
        <v>115</v>
      </c>
      <c r="Q1702" s="2" t="s">
        <v>1797</v>
      </c>
      <c r="R1702" s="2" t="s">
        <v>1798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3233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2544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3233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2544</v>
      </c>
      <c r="L1705" s="2" t="s">
        <v>100</v>
      </c>
      <c r="M1705" s="2" t="s">
        <v>81</v>
      </c>
      <c r="P1705" s="2" t="s">
        <v>283</v>
      </c>
      <c r="Q1705" s="2" t="s">
        <v>1537</v>
      </c>
      <c r="R1705" s="2" t="s">
        <v>1538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04"/>
        <v>0.30000000000000004</v>
      </c>
      <c r="Z1705" s="2" t="s">
        <v>3233</v>
      </c>
      <c r="AA1705" s="2" t="s">
        <v>156</v>
      </c>
      <c r="AB1705" s="2" t="s">
        <v>3411</v>
      </c>
      <c r="AC1705" s="2" t="s">
        <v>1330</v>
      </c>
      <c r="AF1705" s="2">
        <f t="shared" si="200"/>
        <v>0</v>
      </c>
      <c r="AJ1705" s="2">
        <f t="shared" si="201"/>
        <v>0</v>
      </c>
      <c r="AK1705" s="2">
        <f t="shared" si="202"/>
        <v>8.1000000000000014</v>
      </c>
      <c r="AL1705" s="5">
        <f t="shared" si="203"/>
        <v>0.30000000000000004</v>
      </c>
    </row>
    <row r="1706" spans="1:38" hidden="1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2544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3233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3233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3233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hidden="1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3233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hidden="1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3233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3233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3233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hidden="1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3233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3233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3233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1558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1559</v>
      </c>
      <c r="J1716" s="2" t="s">
        <v>1560</v>
      </c>
      <c r="L1716" s="2" t="s">
        <v>100</v>
      </c>
      <c r="M1716" s="2" t="s">
        <v>41</v>
      </c>
      <c r="P1716" s="2" t="s">
        <v>283</v>
      </c>
      <c r="Q1716" s="2" t="s">
        <v>1552</v>
      </c>
      <c r="R1716" s="2" t="s">
        <v>1553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3409</v>
      </c>
    </row>
    <row r="1717" spans="1:38" hidden="1" x14ac:dyDescent="0.2">
      <c r="A1717" s="2">
        <v>2025</v>
      </c>
      <c r="B1717" s="2">
        <v>8</v>
      </c>
      <c r="D1717" s="2" t="s">
        <v>1558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1559</v>
      </c>
      <c r="J1717" s="2" t="s">
        <v>1560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3233</v>
      </c>
      <c r="AA1717" s="2" t="s">
        <v>46</v>
      </c>
      <c r="AB1717" s="2" t="s">
        <v>61</v>
      </c>
      <c r="AC1717" s="2" t="s">
        <v>3339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hidden="1" x14ac:dyDescent="0.2">
      <c r="A1718" s="2">
        <v>2025</v>
      </c>
      <c r="B1718" s="2">
        <v>8</v>
      </c>
      <c r="D1718" s="2" t="s">
        <v>1558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1559</v>
      </c>
      <c r="J1718" s="2" t="s">
        <v>1560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3233</v>
      </c>
      <c r="AA1718" s="2" t="s">
        <v>46</v>
      </c>
      <c r="AB1718" s="2" t="s">
        <v>61</v>
      </c>
      <c r="AC1718" s="2" t="s">
        <v>3339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hidden="1" x14ac:dyDescent="0.2">
      <c r="A1719" s="2">
        <v>2025</v>
      </c>
      <c r="B1719" s="2">
        <v>8</v>
      </c>
      <c r="D1719" s="2" t="s">
        <v>1558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1559</v>
      </c>
      <c r="J1719" s="2" t="s">
        <v>1560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3233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1558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1559</v>
      </c>
      <c r="J1720" s="2" t="s">
        <v>1560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3233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1558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1559</v>
      </c>
      <c r="J1721" s="2" t="s">
        <v>1560</v>
      </c>
      <c r="L1721" s="2" t="s">
        <v>100</v>
      </c>
      <c r="M1721" s="2" t="s">
        <v>41</v>
      </c>
      <c r="P1721" s="2" t="s">
        <v>85</v>
      </c>
      <c r="Q1721" s="2" t="s">
        <v>1799</v>
      </c>
      <c r="R1721" s="2" t="s">
        <v>1800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3233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1558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1559</v>
      </c>
      <c r="J1722" s="2" t="s">
        <v>1560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3233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hidden="1" x14ac:dyDescent="0.2">
      <c r="A1723" s="2">
        <v>2025</v>
      </c>
      <c r="B1723" s="2">
        <v>8</v>
      </c>
      <c r="D1723" s="2" t="s">
        <v>1558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1559</v>
      </c>
      <c r="J1723" s="2" t="s">
        <v>1560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3233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hidden="1" x14ac:dyDescent="0.2">
      <c r="A1724" s="2">
        <v>2025</v>
      </c>
      <c r="B1724" s="2">
        <v>8</v>
      </c>
      <c r="D1724" s="2" t="s">
        <v>1801</v>
      </c>
      <c r="P1724" s="2" t="s">
        <v>3237</v>
      </c>
      <c r="Q1724" s="2" t="s">
        <v>1792</v>
      </c>
      <c r="R1724" s="2" t="s">
        <v>1793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3237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3233</v>
      </c>
      <c r="AA1725" s="2" t="s">
        <v>46</v>
      </c>
      <c r="AB1725" s="2" t="s">
        <v>61</v>
      </c>
      <c r="AC1725" s="2" t="s">
        <v>3339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hidden="1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3226</v>
      </c>
      <c r="J1726" s="2" t="s">
        <v>3227</v>
      </c>
      <c r="L1726" s="2" t="s">
        <v>340</v>
      </c>
      <c r="M1726" s="2" t="s">
        <v>81</v>
      </c>
      <c r="O1726" s="2" t="s">
        <v>3229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3233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3226</v>
      </c>
      <c r="J1727" s="2" t="s">
        <v>3227</v>
      </c>
      <c r="L1727" s="2" t="s">
        <v>340</v>
      </c>
      <c r="M1727" s="2" t="s">
        <v>81</v>
      </c>
      <c r="O1727" s="2" t="s">
        <v>3229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3233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hidden="1" x14ac:dyDescent="0.2">
      <c r="A1728" s="2">
        <v>2025</v>
      </c>
      <c r="B1728" s="2">
        <v>8</v>
      </c>
      <c r="D1728" s="2" t="s">
        <v>1802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3233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1802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3233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1802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3233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1803</v>
      </c>
      <c r="R1731" s="2" t="s">
        <v>1804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3233</v>
      </c>
      <c r="AA1731" s="2" t="s">
        <v>46</v>
      </c>
      <c r="AB1731" s="2" t="s">
        <v>61</v>
      </c>
      <c r="AC1731" s="2" t="s">
        <v>3413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hidden="1" x14ac:dyDescent="0.2">
      <c r="A1732" s="2">
        <v>2025</v>
      </c>
      <c r="B1732" s="2">
        <v>8</v>
      </c>
      <c r="D1732" s="2" t="s">
        <v>1568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hidden="1" x14ac:dyDescent="0.2">
      <c r="A1733" s="2">
        <v>2025</v>
      </c>
      <c r="B1733" s="2">
        <v>8</v>
      </c>
      <c r="D1733" s="2" t="s">
        <v>1568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hidden="1" x14ac:dyDescent="0.2">
      <c r="A1734" s="2">
        <v>2025</v>
      </c>
      <c r="B1734" s="2">
        <v>8</v>
      </c>
      <c r="D1734" s="2" t="s">
        <v>1391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hidden="1" x14ac:dyDescent="0.2">
      <c r="A1735" s="2">
        <v>2025</v>
      </c>
      <c r="B1735" s="2">
        <v>8</v>
      </c>
      <c r="D1735" s="2" t="s">
        <v>1391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5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445.75549999999998</v>
      </c>
      <c r="AL1735" s="5">
        <f t="shared" si="203"/>
        <v>0.26376065088757394</v>
      </c>
    </row>
    <row r="1736" spans="1:38" hidden="1" x14ac:dyDescent="0.2">
      <c r="A1736" s="2">
        <v>2025</v>
      </c>
      <c r="B1736" s="2">
        <v>8</v>
      </c>
      <c r="D1736" s="2" t="s">
        <v>1391</v>
      </c>
      <c r="P1736" s="2" t="s">
        <v>115</v>
      </c>
      <c r="Q1736" s="2" t="s">
        <v>1805</v>
      </c>
      <c r="R1736" s="2" t="s">
        <v>1806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hidden="1" x14ac:dyDescent="0.2">
      <c r="A1737" s="2">
        <v>2025</v>
      </c>
      <c r="B1737" s="2">
        <v>8</v>
      </c>
      <c r="D1737" s="2" t="s">
        <v>1391</v>
      </c>
      <c r="P1737" s="2" t="s">
        <v>115</v>
      </c>
      <c r="Q1737" s="2" t="s">
        <v>1807</v>
      </c>
      <c r="R1737" s="2" t="s">
        <v>1808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Z1737" s="2" t="s">
        <v>105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hidden="1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1809</v>
      </c>
      <c r="P1738" s="2" t="s">
        <v>115</v>
      </c>
      <c r="Q1738" s="2" t="s">
        <v>1810</v>
      </c>
      <c r="R1738" s="2" t="s">
        <v>1811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1812</v>
      </c>
      <c r="P1739" s="2" t="s">
        <v>283</v>
      </c>
      <c r="Q1739" s="2" t="s">
        <v>1813</v>
      </c>
      <c r="R1739" s="2" t="s">
        <v>1814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Z1739" s="2" t="s">
        <v>3233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hidden="1" x14ac:dyDescent="0.2">
      <c r="A1740" s="2">
        <v>2025</v>
      </c>
      <c r="B1740" s="2">
        <v>8</v>
      </c>
      <c r="D1740" s="2" t="s">
        <v>1812</v>
      </c>
      <c r="P1740" s="2" t="s">
        <v>283</v>
      </c>
      <c r="Q1740" s="2" t="s">
        <v>1447</v>
      </c>
      <c r="R1740" s="2" t="s">
        <v>1448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3233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hidden="1" x14ac:dyDescent="0.2">
      <c r="A1741" s="2">
        <v>2025</v>
      </c>
      <c r="B1741" s="2">
        <v>8</v>
      </c>
      <c r="C1741" s="2" t="s">
        <v>3325</v>
      </c>
      <c r="D1741" s="2" t="s">
        <v>3324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3233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3233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hidden="1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1815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3233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1815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3233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hidden="1" x14ac:dyDescent="0.2">
      <c r="A1747" s="2">
        <v>2025</v>
      </c>
      <c r="B1747" s="2">
        <v>8</v>
      </c>
      <c r="D1747" s="2" t="s">
        <v>1259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3233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1259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3233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hidden="1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3233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1311</v>
      </c>
      <c r="R1750" s="2" t="s">
        <v>1312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1313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hidden="1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3233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hidden="1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1816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3233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1817</v>
      </c>
      <c r="R1753" s="2" t="s">
        <v>1818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3233</v>
      </c>
      <c r="AA1753" s="2" t="s">
        <v>72</v>
      </c>
      <c r="AB1753" s="2" t="s">
        <v>1605</v>
      </c>
      <c r="AC1753" s="2" t="s">
        <v>1605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hidden="1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1819</v>
      </c>
      <c r="R1754" s="2" t="s">
        <v>1820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3233</v>
      </c>
      <c r="AA1754" s="2" t="s">
        <v>72</v>
      </c>
      <c r="AB1754" s="2" t="s">
        <v>1605</v>
      </c>
      <c r="AC1754" s="2" t="s">
        <v>1605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hidden="1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1821</v>
      </c>
      <c r="R1755" s="2" t="s">
        <v>1822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3233</v>
      </c>
      <c r="AA1755" s="2" t="s">
        <v>72</v>
      </c>
      <c r="AB1755" s="2" t="s">
        <v>1605</v>
      </c>
      <c r="AC1755" s="2" t="s">
        <v>1605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hidden="1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1823</v>
      </c>
      <c r="R1756" s="2" t="s">
        <v>1824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3233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hidden="1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1825</v>
      </c>
      <c r="R1757" s="2" t="s">
        <v>1826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3233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hidden="1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3233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hidden="1" x14ac:dyDescent="0.2">
      <c r="A1759" s="2">
        <v>2025</v>
      </c>
      <c r="B1759" s="2">
        <v>8</v>
      </c>
      <c r="D1759" s="2" t="s">
        <v>1067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3233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1067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3233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1827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hidden="1" x14ac:dyDescent="0.2">
      <c r="A1762" s="2">
        <v>2025</v>
      </c>
      <c r="B1762" s="2">
        <v>8</v>
      </c>
      <c r="D1762" s="2" t="s">
        <v>1827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hidden="1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3233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3233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3233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1595</v>
      </c>
      <c r="P1766" s="2" t="s">
        <v>115</v>
      </c>
      <c r="Q1766" s="2" t="s">
        <v>1596</v>
      </c>
      <c r="R1766" s="2" t="s">
        <v>1597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hidden="1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1828</v>
      </c>
      <c r="R1767" s="2" t="s">
        <v>1829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3233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hidden="1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3233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3233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1559</v>
      </c>
      <c r="J1770" s="2" t="s">
        <v>1830</v>
      </c>
      <c r="L1770" s="2" t="s">
        <v>178</v>
      </c>
      <c r="P1770" s="2" t="s">
        <v>283</v>
      </c>
      <c r="Q1770" s="2" t="s">
        <v>1331</v>
      </c>
      <c r="R1770" s="2" t="s">
        <v>1332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1333</v>
      </c>
      <c r="AC1770" s="2" t="s">
        <v>1330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1559</v>
      </c>
      <c r="J1771" s="2" t="s">
        <v>1830</v>
      </c>
      <c r="L1771" s="2" t="s">
        <v>178</v>
      </c>
      <c r="M1771" s="2" t="s">
        <v>41</v>
      </c>
      <c r="O1771" s="2" t="s">
        <v>1831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3233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1559</v>
      </c>
      <c r="J1772" s="2" t="s">
        <v>1830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3233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1559</v>
      </c>
      <c r="J1773" s="2" t="s">
        <v>1830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3233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3233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3212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3233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3200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3233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3233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hidden="1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1832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1833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3239</v>
      </c>
      <c r="L1779" s="2" t="s">
        <v>462</v>
      </c>
      <c r="M1779" s="2" t="s">
        <v>41</v>
      </c>
      <c r="O1779" s="2" t="s">
        <v>3240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3179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1626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3233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1626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3233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hidden="1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1834</v>
      </c>
      <c r="R1783" s="2" t="s">
        <v>1835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3233</v>
      </c>
      <c r="AA1783" s="2" t="s">
        <v>72</v>
      </c>
      <c r="AB1783" s="2" t="s">
        <v>1605</v>
      </c>
      <c r="AC1783" s="2" t="s">
        <v>1605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1836</v>
      </c>
      <c r="R1784" s="2" t="s">
        <v>1837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3233</v>
      </c>
      <c r="AA1784" s="2" t="s">
        <v>72</v>
      </c>
      <c r="AB1784" s="2" t="s">
        <v>1605</v>
      </c>
      <c r="AC1784" s="2" t="s">
        <v>1605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hidden="1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3233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3233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3233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1838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3233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hidden="1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1838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3233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hidden="1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1838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3233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hidden="1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1838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3233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hidden="1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1838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3233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hidden="1" x14ac:dyDescent="0.2">
      <c r="A1793" s="2">
        <v>2025</v>
      </c>
      <c r="B1793" s="2">
        <v>8</v>
      </c>
      <c r="C1793" s="2" t="s">
        <v>3325</v>
      </c>
      <c r="D1793" s="2" t="s">
        <v>1640</v>
      </c>
      <c r="E1793" s="2" t="s">
        <v>2452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1641</v>
      </c>
      <c r="R1793" s="2" t="s">
        <v>1642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3233</v>
      </c>
      <c r="AA1793" s="2" t="s">
        <v>72</v>
      </c>
      <c r="AB1793" s="2" t="s">
        <v>1605</v>
      </c>
      <c r="AC1793" s="2" t="s">
        <v>1605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3159</v>
      </c>
      <c r="M1794" s="2" t="s">
        <v>41</v>
      </c>
      <c r="O1794" s="2" t="s">
        <v>3158</v>
      </c>
      <c r="P1794" s="2" t="s">
        <v>1040</v>
      </c>
      <c r="Q1794" s="2" t="s">
        <v>1839</v>
      </c>
      <c r="R1794" s="2" t="s">
        <v>1840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3233</v>
      </c>
      <c r="AA1794" s="2" t="s">
        <v>76</v>
      </c>
      <c r="AB1794" s="2" t="s">
        <v>77</v>
      </c>
      <c r="AC1794" s="2" t="s">
        <v>1040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3233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hidden="1" x14ac:dyDescent="0.2">
      <c r="A1796" s="2">
        <v>2025</v>
      </c>
      <c r="B1796" s="2">
        <v>8</v>
      </c>
      <c r="D1796" s="2" t="s">
        <v>1298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1299</v>
      </c>
      <c r="L1796" s="2" t="s">
        <v>340</v>
      </c>
      <c r="M1796" s="2" t="s">
        <v>81</v>
      </c>
      <c r="P1796" s="2" t="s">
        <v>40</v>
      </c>
      <c r="Q1796" s="2" t="s">
        <v>1841</v>
      </c>
      <c r="R1796" s="2" t="s">
        <v>1842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3233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1298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1299</v>
      </c>
      <c r="L1797" s="2" t="s">
        <v>340</v>
      </c>
      <c r="M1797" s="2" t="s">
        <v>291</v>
      </c>
      <c r="O1797" s="2" t="s">
        <v>3211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3233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1298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1299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3233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hidden="1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1843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3233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hidden="1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3233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3233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3233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1844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1844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hidden="1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1845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3233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1656</v>
      </c>
      <c r="E1806" s="2" t="s">
        <v>38</v>
      </c>
      <c r="F1806" s="2" t="s">
        <v>39</v>
      </c>
      <c r="H1806" s="2" t="s">
        <v>41</v>
      </c>
      <c r="I1806" s="2" t="s">
        <v>1657</v>
      </c>
      <c r="J1806" s="2" t="s">
        <v>1658</v>
      </c>
      <c r="L1806" s="2" t="s">
        <v>113</v>
      </c>
      <c r="M1806" s="2" t="s">
        <v>40</v>
      </c>
      <c r="O1806" s="2" t="s">
        <v>1846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1656</v>
      </c>
      <c r="E1807" s="2" t="s">
        <v>38</v>
      </c>
      <c r="F1807" s="2" t="s">
        <v>39</v>
      </c>
      <c r="H1807" s="2" t="s">
        <v>41</v>
      </c>
      <c r="I1807" s="2" t="s">
        <v>1657</v>
      </c>
      <c r="J1807" s="2" t="s">
        <v>1658</v>
      </c>
      <c r="L1807" s="2" t="s">
        <v>113</v>
      </c>
      <c r="M1807" s="2" t="s">
        <v>40</v>
      </c>
      <c r="O1807" s="2" t="s">
        <v>1846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hidden="1" x14ac:dyDescent="0.2">
      <c r="A1808" s="2">
        <v>2025</v>
      </c>
      <c r="B1808" s="2">
        <v>8</v>
      </c>
      <c r="D1808" s="2" t="s">
        <v>1656</v>
      </c>
      <c r="E1808" s="2" t="s">
        <v>38</v>
      </c>
      <c r="F1808" s="2" t="s">
        <v>39</v>
      </c>
      <c r="H1808" s="2" t="s">
        <v>41</v>
      </c>
      <c r="I1808" s="2" t="s">
        <v>1657</v>
      </c>
      <c r="J1808" s="2" t="s">
        <v>1658</v>
      </c>
      <c r="L1808" s="2" t="s">
        <v>113</v>
      </c>
      <c r="M1808" s="2" t="s">
        <v>40</v>
      </c>
      <c r="O1808" s="2" t="s">
        <v>1846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hidden="1" x14ac:dyDescent="0.2">
      <c r="A1809" s="2">
        <v>2025</v>
      </c>
      <c r="B1809" s="2">
        <v>8</v>
      </c>
      <c r="D1809" s="2" t="s">
        <v>1664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hidden="1" x14ac:dyDescent="0.2">
      <c r="A1810" s="2">
        <v>2025</v>
      </c>
      <c r="B1810" s="2">
        <v>8</v>
      </c>
      <c r="D1810" s="2" t="s">
        <v>1664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hidden="1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1847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3233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1848</v>
      </c>
      <c r="P1812" s="2" t="s">
        <v>283</v>
      </c>
      <c r="Q1812" s="2" t="s">
        <v>1849</v>
      </c>
      <c r="R1812" s="2" t="s">
        <v>1850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3233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hidden="1" x14ac:dyDescent="0.2">
      <c r="A1813" s="2">
        <v>2025</v>
      </c>
      <c r="B1813" s="2">
        <v>8</v>
      </c>
      <c r="D1813" s="2" t="s">
        <v>1315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1316</v>
      </c>
      <c r="L1813" s="2" t="s">
        <v>178</v>
      </c>
      <c r="M1813" s="2" t="s">
        <v>41</v>
      </c>
      <c r="O1813" s="2" t="s">
        <v>1851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3233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1315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1316</v>
      </c>
      <c r="L1814" s="2" t="s">
        <v>178</v>
      </c>
      <c r="M1814" s="2" t="s">
        <v>41</v>
      </c>
      <c r="O1814" s="2" t="s">
        <v>1851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3233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1315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1316</v>
      </c>
      <c r="L1815" s="2" t="s">
        <v>178</v>
      </c>
      <c r="M1815" s="2" t="s">
        <v>41</v>
      </c>
      <c r="O1815" s="2" t="s">
        <v>1851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3233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3419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3233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1852</v>
      </c>
      <c r="R1817" s="2" t="s">
        <v>1853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3233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1593</v>
      </c>
      <c r="R1818" s="2" t="s">
        <v>1594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3233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1854</v>
      </c>
      <c r="R1819" s="2" t="s">
        <v>1855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3233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1856</v>
      </c>
      <c r="R1820" s="2" t="s">
        <v>1857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3233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1447</v>
      </c>
      <c r="R1821" s="2" t="s">
        <v>1448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3233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3233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1858</v>
      </c>
      <c r="L1823" s="2" t="s">
        <v>100</v>
      </c>
      <c r="M1823" s="2" t="s">
        <v>81</v>
      </c>
      <c r="O1823" s="2" t="s">
        <v>1859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3233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3233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3233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3233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3233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1860</v>
      </c>
      <c r="R1828" s="2" t="s">
        <v>1861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3233</v>
      </c>
      <c r="AA1828" s="2" t="s">
        <v>76</v>
      </c>
      <c r="AB1828" s="2" t="s">
        <v>77</v>
      </c>
      <c r="AC1828" s="2" t="s">
        <v>1040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1862</v>
      </c>
      <c r="R1829" s="2" t="s">
        <v>1863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3233</v>
      </c>
      <c r="AA1829" s="2" t="s">
        <v>1043</v>
      </c>
      <c r="AB1829" s="2" t="s">
        <v>1321</v>
      </c>
      <c r="AC1829" s="2" t="s">
        <v>1040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3233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hidden="1" x14ac:dyDescent="0.2">
      <c r="A1831" s="2">
        <v>2025</v>
      </c>
      <c r="B1831" s="2">
        <v>10</v>
      </c>
      <c r="D1831" s="2" t="s">
        <v>1864</v>
      </c>
      <c r="E1831" s="2" t="s">
        <v>109</v>
      </c>
      <c r="G1831" s="2">
        <v>515549134</v>
      </c>
      <c r="H1831" s="2" t="s">
        <v>41</v>
      </c>
      <c r="I1831" s="2" t="s">
        <v>1865</v>
      </c>
      <c r="J1831" s="2" t="s">
        <v>1866</v>
      </c>
      <c r="L1831" s="2" t="s">
        <v>178</v>
      </c>
      <c r="M1831" s="2" t="s">
        <v>41</v>
      </c>
      <c r="O1831" s="2" t="s">
        <v>1867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3233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1864</v>
      </c>
      <c r="E1832" s="2" t="s">
        <v>109</v>
      </c>
      <c r="G1832" s="2">
        <v>515549134</v>
      </c>
      <c r="H1832" s="2" t="s">
        <v>41</v>
      </c>
      <c r="I1832" s="2" t="s">
        <v>1865</v>
      </c>
      <c r="J1832" s="2" t="s">
        <v>1866</v>
      </c>
      <c r="L1832" s="2" t="s">
        <v>178</v>
      </c>
      <c r="M1832" s="2" t="s">
        <v>41</v>
      </c>
      <c r="O1832" s="2" t="s">
        <v>1867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3233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1864</v>
      </c>
      <c r="E1833" s="2" t="s">
        <v>109</v>
      </c>
      <c r="G1833" s="2">
        <v>515549134</v>
      </c>
      <c r="H1833" s="2" t="s">
        <v>41</v>
      </c>
      <c r="I1833" s="2" t="s">
        <v>1865</v>
      </c>
      <c r="J1833" s="2" t="s">
        <v>1866</v>
      </c>
      <c r="L1833" s="2" t="s">
        <v>178</v>
      </c>
      <c r="M1833" s="2" t="s">
        <v>41</v>
      </c>
      <c r="O1833" s="2" t="s">
        <v>1867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3233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1864</v>
      </c>
      <c r="E1834" s="2" t="s">
        <v>109</v>
      </c>
      <c r="G1834" s="2">
        <v>515549134</v>
      </c>
      <c r="H1834" s="2" t="s">
        <v>41</v>
      </c>
      <c r="I1834" s="2" t="s">
        <v>1865</v>
      </c>
      <c r="J1834" s="2" t="s">
        <v>1866</v>
      </c>
      <c r="L1834" s="2" t="s">
        <v>178</v>
      </c>
      <c r="M1834" s="2" t="s">
        <v>41</v>
      </c>
      <c r="O1834" s="2" t="s">
        <v>1867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3233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1864</v>
      </c>
      <c r="E1835" s="2" t="s">
        <v>109</v>
      </c>
      <c r="G1835" s="2">
        <v>515549134</v>
      </c>
      <c r="H1835" s="2" t="s">
        <v>41</v>
      </c>
      <c r="I1835" s="2" t="s">
        <v>1865</v>
      </c>
      <c r="J1835" s="2" t="s">
        <v>1866</v>
      </c>
      <c r="L1835" s="2" t="s">
        <v>178</v>
      </c>
      <c r="M1835" s="2" t="s">
        <v>41</v>
      </c>
      <c r="O1835" s="2" t="s">
        <v>1867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3233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1453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1868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3233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1868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3233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hidden="1" x14ac:dyDescent="0.2">
      <c r="A1839" s="2">
        <v>2025</v>
      </c>
      <c r="B1839" s="2">
        <v>10</v>
      </c>
      <c r="D1839" s="2" t="s">
        <v>1461</v>
      </c>
      <c r="P1839" s="2" t="s">
        <v>283</v>
      </c>
      <c r="Q1839" s="2" t="s">
        <v>1552</v>
      </c>
      <c r="R1839" s="2" t="s">
        <v>1553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hidden="1" x14ac:dyDescent="0.2">
      <c r="A1840" s="2">
        <v>2025</v>
      </c>
      <c r="B1840" s="2">
        <v>10</v>
      </c>
      <c r="D1840" s="2" t="s">
        <v>1461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3233</v>
      </c>
      <c r="AA1840" s="2" t="s">
        <v>46</v>
      </c>
      <c r="AB1840" s="2" t="s">
        <v>61</v>
      </c>
      <c r="AC1840" s="2" t="s">
        <v>3339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hidden="1" x14ac:dyDescent="0.2">
      <c r="A1841" s="2">
        <v>2025</v>
      </c>
      <c r="B1841" s="2">
        <v>10</v>
      </c>
      <c r="D1841" s="2" t="s">
        <v>1461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3233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1461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3233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hidden="1" x14ac:dyDescent="0.2">
      <c r="A1843" s="2">
        <v>2025</v>
      </c>
      <c r="B1843" s="2">
        <v>10</v>
      </c>
      <c r="D1843" s="2" t="s">
        <v>943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1">(T1843-W1843)/T1843</f>
        <v>0.52105128205128204</v>
      </c>
      <c r="Z1843" s="2" t="s">
        <v>3233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943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3233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943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3233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943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3233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1869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1869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1869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1870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3233</v>
      </c>
      <c r="AA1850" s="2" t="s">
        <v>72</v>
      </c>
      <c r="AB1850" s="2" t="s">
        <v>69</v>
      </c>
      <c r="AC1850" s="2" t="s">
        <v>3238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1870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1871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1872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1872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1871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3233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3233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3233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hidden="1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3233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1489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3388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hidden="1" x14ac:dyDescent="0.2">
      <c r="A1862" s="2">
        <v>2025</v>
      </c>
      <c r="B1862" s="2">
        <v>10</v>
      </c>
      <c r="D1862" s="2" t="s">
        <v>1493</v>
      </c>
      <c r="P1862" s="2" t="s">
        <v>115</v>
      </c>
      <c r="Q1862" s="2" t="s">
        <v>1583</v>
      </c>
      <c r="R1862" s="2" t="s">
        <v>1584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hidden="1" x14ac:dyDescent="0.2">
      <c r="A1863" s="2">
        <v>2025</v>
      </c>
      <c r="B1863" s="2">
        <v>10</v>
      </c>
      <c r="D1863" s="2" t="s">
        <v>1493</v>
      </c>
      <c r="M1863" s="2" t="s">
        <v>40</v>
      </c>
      <c r="P1863" s="2" t="s">
        <v>188</v>
      </c>
      <c r="Q1863" s="2" t="s">
        <v>1311</v>
      </c>
      <c r="R1863" s="2" t="s">
        <v>1312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1313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1873</v>
      </c>
      <c r="P1864" s="2" t="s">
        <v>115</v>
      </c>
      <c r="Q1864" s="2" t="s">
        <v>1874</v>
      </c>
      <c r="R1864" s="2" t="s">
        <v>1875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1873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1873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1873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1876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3233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1876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3233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1877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3233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1878</v>
      </c>
      <c r="P1871" s="2" t="s">
        <v>73</v>
      </c>
      <c r="Q1871" s="2" t="s">
        <v>1452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3233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1879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3233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1877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3233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hidden="1" x14ac:dyDescent="0.2">
      <c r="A1874" s="2">
        <v>2025</v>
      </c>
      <c r="B1874" s="2">
        <v>10</v>
      </c>
      <c r="D1874" s="2" t="s">
        <v>1880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hidden="1" x14ac:dyDescent="0.2">
      <c r="A1875" s="2">
        <v>2025</v>
      </c>
      <c r="B1875" s="2">
        <v>10</v>
      </c>
      <c r="D1875" s="2" t="s">
        <v>1880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3233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3233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hidden="1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3233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3233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hidden="1" x14ac:dyDescent="0.2">
      <c r="A1880" s="2">
        <v>2025</v>
      </c>
      <c r="B1880" s="2">
        <v>10</v>
      </c>
      <c r="D1880" s="2" t="s">
        <v>1353</v>
      </c>
      <c r="P1880" s="2" t="s">
        <v>115</v>
      </c>
      <c r="Q1880" s="2" t="s">
        <v>1881</v>
      </c>
      <c r="R1880" s="2" t="s">
        <v>1882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Z1880" s="2" t="s">
        <v>118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hidden="1" x14ac:dyDescent="0.2">
      <c r="A1881" s="2">
        <v>2025</v>
      </c>
      <c r="B1881" s="2">
        <v>10</v>
      </c>
      <c r="D1881" s="2" t="s">
        <v>1353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Z1881" s="2" t="s">
        <v>118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hidden="1" x14ac:dyDescent="0.2">
      <c r="A1882" s="2">
        <v>2025</v>
      </c>
      <c r="B1882" s="2">
        <v>10</v>
      </c>
      <c r="D1882" s="2" t="s">
        <v>1353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Z1882" s="2" t="s">
        <v>118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hidden="1" x14ac:dyDescent="0.2">
      <c r="A1883" s="2">
        <v>2025</v>
      </c>
      <c r="B1883" s="2">
        <v>10</v>
      </c>
      <c r="D1883" s="2" t="s">
        <v>1353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1353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hidden="1" x14ac:dyDescent="0.2">
      <c r="A1885" s="2">
        <v>2025</v>
      </c>
      <c r="B1885" s="2">
        <v>10</v>
      </c>
      <c r="D1885" s="2" t="s">
        <v>1353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hidden="1" x14ac:dyDescent="0.2">
      <c r="A1886" s="2">
        <v>2025</v>
      </c>
      <c r="B1886" s="2">
        <v>10</v>
      </c>
      <c r="D1886" s="2" t="s">
        <v>1883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Z1886" s="2" t="s">
        <v>118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hidden="1" x14ac:dyDescent="0.2">
      <c r="A1887" s="2">
        <v>2025</v>
      </c>
      <c r="B1887" s="2">
        <v>10</v>
      </c>
      <c r="D1887" s="2" t="s">
        <v>1507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1508</v>
      </c>
      <c r="J1887" s="2" t="s">
        <v>1509</v>
      </c>
      <c r="K1887" s="2">
        <v>961386655</v>
      </c>
      <c r="L1887" s="2" t="s">
        <v>134</v>
      </c>
      <c r="M1887" s="2" t="s">
        <v>40</v>
      </c>
      <c r="O1887" s="2" t="s">
        <v>1884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3233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1885</v>
      </c>
      <c r="R1888" s="2" t="s">
        <v>1886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3233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hidden="1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1887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3233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1887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3233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1887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3233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1887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3233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1887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3233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1887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3233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hidden="1" x14ac:dyDescent="0.2">
      <c r="A1895" s="2">
        <v>2025</v>
      </c>
      <c r="B1895" s="2">
        <v>10</v>
      </c>
      <c r="C1895" s="2" t="s">
        <v>3412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3233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1780</v>
      </c>
      <c r="P1896" s="2" t="s">
        <v>3237</v>
      </c>
      <c r="Q1896" s="2" t="s">
        <v>1888</v>
      </c>
      <c r="R1896" s="2" t="s">
        <v>1889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3237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3233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3233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hidden="1" x14ac:dyDescent="0.2">
      <c r="A1899" s="2">
        <v>2025</v>
      </c>
      <c r="B1899" s="2">
        <v>10</v>
      </c>
      <c r="D1899" s="2" t="s">
        <v>1890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1890</v>
      </c>
      <c r="P1900" s="2" t="s">
        <v>115</v>
      </c>
      <c r="Q1900" s="2" t="s">
        <v>1891</v>
      </c>
      <c r="R1900" s="2" t="s">
        <v>1892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hidden="1" x14ac:dyDescent="0.2">
      <c r="A1901" s="2">
        <v>2025</v>
      </c>
      <c r="B1901" s="2">
        <v>10</v>
      </c>
      <c r="C1901" s="2" t="s">
        <v>3412</v>
      </c>
      <c r="D1901" s="2" t="s">
        <v>1893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1894</v>
      </c>
      <c r="R1901" s="2" t="s">
        <v>1895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27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23"/>
        <v>0</v>
      </c>
      <c r="AJ1901" s="2">
        <f t="shared" si="224"/>
        <v>0</v>
      </c>
      <c r="AK1901" s="2">
        <f t="shared" si="225"/>
        <v>43.47</v>
      </c>
      <c r="AL1901" s="5">
        <f t="shared" si="222"/>
        <v>0.44443308455168179</v>
      </c>
    </row>
    <row r="1902" spans="1:38" hidden="1" x14ac:dyDescent="0.2">
      <c r="A1902" s="2">
        <v>2025</v>
      </c>
      <c r="B1902" s="2">
        <v>10</v>
      </c>
      <c r="C1902" s="2" t="s">
        <v>3412</v>
      </c>
      <c r="D1902" s="2" t="s">
        <v>1893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hidden="1" x14ac:dyDescent="0.2">
      <c r="A1903" s="2">
        <v>2025</v>
      </c>
      <c r="B1903" s="2">
        <v>10</v>
      </c>
      <c r="C1903" s="2" t="s">
        <v>3412</v>
      </c>
      <c r="D1903" s="2" t="s">
        <v>1893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1348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3233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3233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hidden="1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3233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3233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3421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3233</v>
      </c>
      <c r="AA1908" s="2" t="s">
        <v>72</v>
      </c>
      <c r="AB1908" s="2" t="s">
        <v>69</v>
      </c>
      <c r="AC1908" s="2" t="s">
        <v>3238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1579</v>
      </c>
      <c r="AB1909" s="2" t="s">
        <v>389</v>
      </c>
      <c r="AC1909" s="2" t="s">
        <v>1330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hidden="1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2482</v>
      </c>
      <c r="J1911" s="2" t="s">
        <v>3129</v>
      </c>
      <c r="K1911" s="2">
        <v>965864665</v>
      </c>
      <c r="L1911" s="2" t="s">
        <v>345</v>
      </c>
      <c r="M1911" s="2" t="s">
        <v>81</v>
      </c>
      <c r="O1911" s="2" t="s">
        <v>3132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3233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2482</v>
      </c>
      <c r="J1912" s="2" t="s">
        <v>3129</v>
      </c>
      <c r="K1912" s="2">
        <v>965864665</v>
      </c>
      <c r="L1912" s="2" t="s">
        <v>345</v>
      </c>
      <c r="M1912" s="2" t="s">
        <v>81</v>
      </c>
      <c r="O1912" s="2" t="s">
        <v>3132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3233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hidden="1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3233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3233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3233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3233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3233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hidden="1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3233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1376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hidden="1" x14ac:dyDescent="0.2">
      <c r="A1920" s="2">
        <v>2025</v>
      </c>
      <c r="B1920" s="2">
        <v>10</v>
      </c>
      <c r="D1920" s="2" t="s">
        <v>1376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hidden="1" x14ac:dyDescent="0.2">
      <c r="A1921" s="2">
        <v>2025</v>
      </c>
      <c r="B1921" s="2">
        <v>10</v>
      </c>
      <c r="D1921" s="2" t="s">
        <v>1896</v>
      </c>
      <c r="P1921" s="2" t="s">
        <v>73</v>
      </c>
      <c r="Q1921" s="2" t="s">
        <v>1897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3233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1896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3233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hidden="1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1898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3233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1899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3233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1899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hidden="1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1900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3233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hidden="1" x14ac:dyDescent="0.2">
      <c r="A1927" s="2">
        <v>2025</v>
      </c>
      <c r="B1927" s="2">
        <v>10</v>
      </c>
      <c r="D1927" s="2" t="s">
        <v>1558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1559</v>
      </c>
      <c r="J1927" s="2" t="s">
        <v>1560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3233</v>
      </c>
      <c r="AA1927" s="2" t="s">
        <v>46</v>
      </c>
      <c r="AB1927" s="2" t="s">
        <v>61</v>
      </c>
      <c r="AC1927" s="2" t="s">
        <v>3339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hidden="1" x14ac:dyDescent="0.2">
      <c r="A1928" s="2">
        <v>2025</v>
      </c>
      <c r="B1928" s="2">
        <v>10</v>
      </c>
      <c r="D1928" s="2" t="s">
        <v>1558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1559</v>
      </c>
      <c r="J1928" s="2" t="s">
        <v>1560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3233</v>
      </c>
      <c r="AA1928" s="2" t="s">
        <v>46</v>
      </c>
      <c r="AB1928" s="2" t="s">
        <v>61</v>
      </c>
      <c r="AC1928" s="2" t="s">
        <v>3339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hidden="1" x14ac:dyDescent="0.2">
      <c r="A1929" s="2">
        <v>2025</v>
      </c>
      <c r="B1929" s="2">
        <v>10</v>
      </c>
      <c r="D1929" s="2" t="s">
        <v>1901</v>
      </c>
      <c r="P1929" s="2" t="s">
        <v>3237</v>
      </c>
      <c r="Q1929" s="2" t="s">
        <v>1902</v>
      </c>
      <c r="R1929" s="2" t="s">
        <v>1903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1904</v>
      </c>
      <c r="AC1929" s="2" t="s">
        <v>3237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1901</v>
      </c>
      <c r="P1930" s="2" t="s">
        <v>69</v>
      </c>
      <c r="Q1930" s="2" t="s">
        <v>1905</v>
      </c>
      <c r="R1930" s="2" t="s">
        <v>1906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3238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hidden="1" x14ac:dyDescent="0.2">
      <c r="A1931" s="2">
        <v>2025</v>
      </c>
      <c r="B1931" s="2">
        <v>10</v>
      </c>
      <c r="D1931" s="2" t="s">
        <v>1907</v>
      </c>
      <c r="P1931" s="2" t="s">
        <v>115</v>
      </c>
      <c r="Q1931" s="2" t="s">
        <v>1908</v>
      </c>
      <c r="R1931" s="2" t="s">
        <v>1909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hidden="1" x14ac:dyDescent="0.2">
      <c r="A1932" s="2">
        <v>2025</v>
      </c>
      <c r="B1932" s="2">
        <v>10</v>
      </c>
      <c r="D1932" s="2" t="s">
        <v>1907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hidden="1" x14ac:dyDescent="0.2">
      <c r="A1933" s="2">
        <v>2025</v>
      </c>
      <c r="B1933" s="2">
        <v>10</v>
      </c>
      <c r="D1933" s="2" t="s">
        <v>1907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hidden="1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3"/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207.75549999999998</v>
      </c>
      <c r="AL1934" s="5">
        <f t="shared" si="228"/>
        <v>0.14308230027548208</v>
      </c>
    </row>
    <row r="1935" spans="1:38" hidden="1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1910</v>
      </c>
      <c r="R1935" s="2" t="s">
        <v>1911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hidden="1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3233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3233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hidden="1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1912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3233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1912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3233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1912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hidden="1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3233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3233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1913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hidden="1" x14ac:dyDescent="0.2">
      <c r="A1945" s="2">
        <v>2025</v>
      </c>
      <c r="B1945" s="2">
        <v>10</v>
      </c>
      <c r="D1945" s="2" t="s">
        <v>1913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hidden="1" x14ac:dyDescent="0.2">
      <c r="A1946" s="2">
        <v>2025</v>
      </c>
      <c r="B1946" s="2">
        <v>10</v>
      </c>
      <c r="D1946" s="2" t="s">
        <v>1913</v>
      </c>
      <c r="P1946" s="2" t="s">
        <v>69</v>
      </c>
      <c r="Q1946" s="2" t="s">
        <v>1914</v>
      </c>
      <c r="R1946" s="2" t="s">
        <v>1915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3233</v>
      </c>
      <c r="AC1946" s="2" t="s">
        <v>3238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hidden="1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hidden="1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1916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3233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1917</v>
      </c>
      <c r="P1949" s="2" t="s">
        <v>73</v>
      </c>
      <c r="Q1949" s="2" t="s">
        <v>1452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3233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1917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1918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3233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hidden="1" x14ac:dyDescent="0.2">
      <c r="A1952" s="2">
        <v>2025</v>
      </c>
      <c r="B1952" s="2">
        <v>10</v>
      </c>
      <c r="D1952" s="2" t="s">
        <v>1067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3233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3140</v>
      </c>
      <c r="L1953" s="2" t="s">
        <v>178</v>
      </c>
      <c r="M1953" s="2" t="s">
        <v>41</v>
      </c>
      <c r="O1953" s="2" t="s">
        <v>3146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3233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3140</v>
      </c>
      <c r="L1954" s="2" t="s">
        <v>178</v>
      </c>
      <c r="M1954" s="2" t="s">
        <v>41</v>
      </c>
      <c r="O1954" s="2" t="s">
        <v>3146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3233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1919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3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625.75549999999998</v>
      </c>
      <c r="AL1955" s="5">
        <f t="shared" si="228"/>
        <v>0.33462860962566843</v>
      </c>
    </row>
    <row r="1956" spans="1:38" hidden="1" x14ac:dyDescent="0.2">
      <c r="A1956" s="2">
        <v>2025</v>
      </c>
      <c r="B1956" s="2">
        <v>10</v>
      </c>
      <c r="D1956" s="2" t="s">
        <v>1920</v>
      </c>
      <c r="P1956" s="2" t="s">
        <v>115</v>
      </c>
      <c r="Q1956" s="2" t="s">
        <v>1921</v>
      </c>
      <c r="R1956" s="2" t="s">
        <v>1922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Z1956" s="2" t="s">
        <v>118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hidden="1" x14ac:dyDescent="0.2">
      <c r="A1957" s="2">
        <v>2025</v>
      </c>
      <c r="B1957" s="2">
        <v>10</v>
      </c>
      <c r="D1957" s="2" t="s">
        <v>1598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1599</v>
      </c>
      <c r="J1957" s="2" t="s">
        <v>1600</v>
      </c>
      <c r="L1957" s="2" t="s">
        <v>202</v>
      </c>
      <c r="M1957" s="2" t="s">
        <v>41</v>
      </c>
      <c r="O1957" s="2" t="s">
        <v>1923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3233</v>
      </c>
      <c r="AA1957" s="2" t="s">
        <v>46</v>
      </c>
      <c r="AB1957" s="2" t="s">
        <v>61</v>
      </c>
      <c r="AC1957" s="2" t="s">
        <v>3339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1598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1599</v>
      </c>
      <c r="J1958" s="2" t="s">
        <v>1600</v>
      </c>
      <c r="L1958" s="2" t="s">
        <v>202</v>
      </c>
      <c r="M1958" s="2" t="s">
        <v>41</v>
      </c>
      <c r="O1958" s="2" t="s">
        <v>1923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3233</v>
      </c>
      <c r="AA1958" s="2" t="s">
        <v>46</v>
      </c>
      <c r="AB1958" s="2" t="s">
        <v>61</v>
      </c>
      <c r="AC1958" s="2" t="s">
        <v>3339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3233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3233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hidden="1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3233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hidden="1" x14ac:dyDescent="0.2">
      <c r="A1963" s="2">
        <v>2025</v>
      </c>
      <c r="B1963" s="2">
        <v>10</v>
      </c>
      <c r="D1963" s="2" t="s">
        <v>1421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2417</v>
      </c>
      <c r="J1963" s="2" t="s">
        <v>2418</v>
      </c>
      <c r="L1963" s="2" t="s">
        <v>202</v>
      </c>
      <c r="M1963" s="2" t="s">
        <v>81</v>
      </c>
      <c r="P1963" s="2" t="s">
        <v>1040</v>
      </c>
      <c r="Q1963" s="2" t="s">
        <v>1924</v>
      </c>
      <c r="R1963" s="2" t="s">
        <v>1925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3233</v>
      </c>
      <c r="AA1963" s="2" t="s">
        <v>1043</v>
      </c>
      <c r="AB1963" s="2" t="s">
        <v>1321</v>
      </c>
      <c r="AC1963" s="2" t="s">
        <v>1040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1421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2417</v>
      </c>
      <c r="J1964" s="2" t="s">
        <v>2418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hidden="1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1910</v>
      </c>
      <c r="R1965" s="2" t="s">
        <v>1911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1926</v>
      </c>
      <c r="R1966" s="2" t="s">
        <v>1927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3230</v>
      </c>
      <c r="P1967" s="2" t="s">
        <v>283</v>
      </c>
      <c r="Q1967" s="2" t="s">
        <v>1394</v>
      </c>
      <c r="R1967" s="2" t="s">
        <v>1395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3233</v>
      </c>
      <c r="AA1967" s="2" t="s">
        <v>72</v>
      </c>
      <c r="AB1967" s="2" t="s">
        <v>1605</v>
      </c>
      <c r="AC1967" s="2" t="s">
        <v>1605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3231</v>
      </c>
      <c r="P1968" s="2" t="s">
        <v>283</v>
      </c>
      <c r="Q1968" s="2" t="s">
        <v>1447</v>
      </c>
      <c r="R1968" s="2" t="s">
        <v>1448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3233</v>
      </c>
      <c r="AA1968" s="2" t="s">
        <v>72</v>
      </c>
      <c r="AB1968" s="2" t="s">
        <v>1605</v>
      </c>
      <c r="AC1968" s="2" t="s">
        <v>1605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1928</v>
      </c>
      <c r="R1969" s="2" t="s">
        <v>1929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3233</v>
      </c>
      <c r="AA1969" s="2" t="s">
        <v>1043</v>
      </c>
      <c r="AB1969" s="2" t="s">
        <v>1273</v>
      </c>
      <c r="AC1969" s="2" t="s">
        <v>1040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1930</v>
      </c>
      <c r="R1970" s="2" t="s">
        <v>1931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3233</v>
      </c>
      <c r="AA1970" s="2" t="s">
        <v>1043</v>
      </c>
      <c r="AB1970" s="2" t="s">
        <v>1273</v>
      </c>
      <c r="AC1970" s="2" t="s">
        <v>1040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1932</v>
      </c>
      <c r="R1971" s="2" t="s">
        <v>1933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3233</v>
      </c>
      <c r="AA1971" s="2" t="s">
        <v>1043</v>
      </c>
      <c r="AB1971" s="2" t="s">
        <v>1321</v>
      </c>
      <c r="AC1971" s="2" t="s">
        <v>1040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1934</v>
      </c>
      <c r="R1972" s="2" t="s">
        <v>1935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3233</v>
      </c>
      <c r="AA1972" s="2" t="s">
        <v>1043</v>
      </c>
      <c r="AB1972" s="2" t="s">
        <v>1321</v>
      </c>
      <c r="AC1972" s="2" t="s">
        <v>1040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1936</v>
      </c>
      <c r="R1973" s="2" t="s">
        <v>1937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3233</v>
      </c>
      <c r="AA1973" s="2" t="s">
        <v>1043</v>
      </c>
      <c r="AB1973" s="2" t="s">
        <v>1321</v>
      </c>
      <c r="AC1973" s="2" t="s">
        <v>1040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1938</v>
      </c>
      <c r="R1974" s="2" t="s">
        <v>1939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3233</v>
      </c>
      <c r="AA1974" s="2" t="s">
        <v>1043</v>
      </c>
      <c r="AB1974" s="2" t="s">
        <v>1321</v>
      </c>
      <c r="AC1974" s="2" t="s">
        <v>1040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hidden="1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1940</v>
      </c>
      <c r="P1976" s="2" t="s">
        <v>115</v>
      </c>
      <c r="Q1976" s="2" t="s">
        <v>1386</v>
      </c>
      <c r="R1976" s="2" t="s">
        <v>1387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hidden="1" x14ac:dyDescent="0.2">
      <c r="A1977" s="2">
        <v>2025</v>
      </c>
      <c r="B1977" s="2">
        <v>10</v>
      </c>
      <c r="D1977" s="2" t="s">
        <v>1941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3173</v>
      </c>
      <c r="L1977" s="2" t="s">
        <v>481</v>
      </c>
      <c r="O1977" s="2" t="s">
        <v>3174</v>
      </c>
      <c r="P1977" s="2" t="s">
        <v>1040</v>
      </c>
      <c r="Q1977" s="2" t="s">
        <v>1942</v>
      </c>
      <c r="R1977" s="2" t="s">
        <v>1943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3233</v>
      </c>
      <c r="AA1977" s="2" t="s">
        <v>1043</v>
      </c>
      <c r="AB1977" s="2" t="s">
        <v>1044</v>
      </c>
      <c r="AC1977" s="2" t="s">
        <v>1040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1941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3173</v>
      </c>
      <c r="L1978" s="2" t="s">
        <v>481</v>
      </c>
      <c r="O1978" s="2" t="s">
        <v>3174</v>
      </c>
      <c r="P1978" s="2" t="s">
        <v>1040</v>
      </c>
      <c r="Q1978" s="2" t="s">
        <v>1944</v>
      </c>
      <c r="R1978" s="2" t="s">
        <v>1945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3233</v>
      </c>
      <c r="AA1978" s="2" t="s">
        <v>1043</v>
      </c>
      <c r="AB1978" s="2" t="s">
        <v>1044</v>
      </c>
      <c r="AC1978" s="2" t="s">
        <v>1040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1278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Z1979" s="2" t="s">
        <v>118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hidden="1" x14ac:dyDescent="0.2">
      <c r="A1980" s="2">
        <v>2025</v>
      </c>
      <c r="B1980" s="2">
        <v>10</v>
      </c>
      <c r="C1980" s="2" t="s">
        <v>3421</v>
      </c>
      <c r="D1980" s="2" t="s">
        <v>1743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1946</v>
      </c>
      <c r="R1980" s="2" t="s">
        <v>1947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3233</v>
      </c>
      <c r="AA1980" s="2" t="s">
        <v>156</v>
      </c>
      <c r="AB1980" s="2" t="s">
        <v>1947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1743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hidden="1" x14ac:dyDescent="0.2">
      <c r="A1982" s="2">
        <v>2025</v>
      </c>
      <c r="B1982" s="2">
        <v>10</v>
      </c>
      <c r="D1982" s="2" t="s">
        <v>1948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3233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1948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3233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hidden="1" x14ac:dyDescent="0.2">
      <c r="A1984" s="2">
        <v>2025</v>
      </c>
      <c r="B1984" s="2">
        <v>10</v>
      </c>
      <c r="D1984" s="2" t="s">
        <v>1949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3233</v>
      </c>
      <c r="AA1984" s="2" t="s">
        <v>72</v>
      </c>
      <c r="AB1984" s="2" t="s">
        <v>69</v>
      </c>
      <c r="AC1984" s="2" t="s">
        <v>3238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3233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3233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3233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3233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3233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3233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hidden="1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3233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hidden="1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3233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3233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1950</v>
      </c>
      <c r="P1994" s="2" t="s">
        <v>3237</v>
      </c>
      <c r="Q1994" s="2" t="s">
        <v>1951</v>
      </c>
      <c r="R1994" s="2" t="s">
        <v>1952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3237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3233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1953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3233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1953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3233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hidden="1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1953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3233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1953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3233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1954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hidden="1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3308</v>
      </c>
      <c r="O2001" s="2" t="s">
        <v>1955</v>
      </c>
      <c r="P2001" s="2" t="s">
        <v>283</v>
      </c>
      <c r="Q2001" s="2" t="s">
        <v>1956</v>
      </c>
      <c r="R2001" s="2" t="s">
        <v>1957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3233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3308</v>
      </c>
      <c r="O2002" s="2" t="s">
        <v>1958</v>
      </c>
      <c r="P2002" s="2" t="s">
        <v>283</v>
      </c>
      <c r="Q2002" s="2" t="s">
        <v>1645</v>
      </c>
      <c r="R2002" s="2" t="s">
        <v>1646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3233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1298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1299</v>
      </c>
      <c r="L2003" s="2" t="s">
        <v>340</v>
      </c>
      <c r="M2003" s="2" t="s">
        <v>81</v>
      </c>
      <c r="O2003" s="2" t="s">
        <v>3208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3233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1298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1299</v>
      </c>
      <c r="L2004" s="2" t="s">
        <v>340</v>
      </c>
      <c r="M2004" s="2" t="s">
        <v>81</v>
      </c>
      <c r="P2004" s="2" t="s">
        <v>1040</v>
      </c>
      <c r="Q2004" s="2" t="s">
        <v>1959</v>
      </c>
      <c r="R2004" s="2" t="s">
        <v>1960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3233</v>
      </c>
      <c r="AA2004" s="2" t="s">
        <v>76</v>
      </c>
      <c r="AB2004" s="2" t="s">
        <v>77</v>
      </c>
      <c r="AC2004" s="2" t="s">
        <v>1040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1298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1299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1298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1299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3233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hidden="1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3233</v>
      </c>
      <c r="AA2007" s="2" t="s">
        <v>46</v>
      </c>
      <c r="AB2007" s="2" t="s">
        <v>61</v>
      </c>
      <c r="AC2007" s="2" t="s">
        <v>3339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hidden="1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3233</v>
      </c>
      <c r="AA2008" s="2" t="s">
        <v>46</v>
      </c>
      <c r="AB2008" s="2" t="s">
        <v>61</v>
      </c>
      <c r="AC2008" s="2" t="s">
        <v>3339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hidden="1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1303</v>
      </c>
      <c r="R2009" s="2" t="s">
        <v>1304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Z2009" s="2" t="s">
        <v>118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hidden="1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1961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3233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1961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3233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hidden="1" x14ac:dyDescent="0.2">
      <c r="A2013" s="2">
        <v>2025</v>
      </c>
      <c r="B2013" s="2">
        <v>10</v>
      </c>
      <c r="D2013" s="2" t="s">
        <v>1302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Z2013" s="2" t="s">
        <v>118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hidden="1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hidden="1" x14ac:dyDescent="0.2">
      <c r="A2017" s="2">
        <v>2025</v>
      </c>
      <c r="B2017" s="2">
        <v>10</v>
      </c>
      <c r="D2017" s="2" t="s">
        <v>1962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1962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hidden="1" x14ac:dyDescent="0.2">
      <c r="A2019" s="2">
        <v>2025</v>
      </c>
      <c r="B2019" s="2">
        <v>10</v>
      </c>
      <c r="D2019" s="2" t="s">
        <v>1962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hidden="1" x14ac:dyDescent="0.2">
      <c r="A2020" s="2">
        <v>2025</v>
      </c>
      <c r="B2020" s="2">
        <v>10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1963</v>
      </c>
      <c r="P2020" s="2" t="s">
        <v>115</v>
      </c>
      <c r="Q2020" s="2" t="s">
        <v>1386</v>
      </c>
      <c r="R2020" s="2" t="s">
        <v>1387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hidden="1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Z2021" s="2" t="s">
        <v>118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hidden="1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3233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3233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1964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1965</v>
      </c>
      <c r="J2024" s="2" t="s">
        <v>1966</v>
      </c>
      <c r="L2024" s="2" t="s">
        <v>294</v>
      </c>
      <c r="M2024" s="2" t="s">
        <v>40</v>
      </c>
      <c r="O2024" s="2" t="s">
        <v>1967</v>
      </c>
      <c r="P2024" s="2" t="s">
        <v>115</v>
      </c>
      <c r="Q2024" s="2" t="s">
        <v>1968</v>
      </c>
      <c r="R2024" s="2" t="s">
        <v>1969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1964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1965</v>
      </c>
      <c r="J2025" s="2" t="s">
        <v>1966</v>
      </c>
      <c r="L2025" s="2" t="s">
        <v>294</v>
      </c>
      <c r="M2025" s="2" t="s">
        <v>40</v>
      </c>
      <c r="P2025" s="2" t="s">
        <v>115</v>
      </c>
      <c r="Q2025" s="2" t="s">
        <v>1970</v>
      </c>
      <c r="R2025" s="2" t="s">
        <v>1971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1964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1965</v>
      </c>
      <c r="J2026" s="2" t="s">
        <v>1966</v>
      </c>
      <c r="L2026" s="2" t="s">
        <v>294</v>
      </c>
      <c r="M2026" s="2" t="s">
        <v>40</v>
      </c>
      <c r="P2026" s="2" t="s">
        <v>115</v>
      </c>
      <c r="Q2026" s="2" t="s">
        <v>1972</v>
      </c>
      <c r="R2026" s="2" t="s">
        <v>1973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Z2026" s="2" t="s">
        <v>118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hidden="1" x14ac:dyDescent="0.2">
      <c r="A2027" s="2">
        <v>2025</v>
      </c>
      <c r="B2027" s="2">
        <v>10</v>
      </c>
      <c r="D2027" s="2" t="s">
        <v>1974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3233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1974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3233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hidden="1" x14ac:dyDescent="0.2">
      <c r="A2029" s="2">
        <v>2025</v>
      </c>
      <c r="B2029" s="2">
        <v>10</v>
      </c>
      <c r="D2029" s="2" t="s">
        <v>923</v>
      </c>
      <c r="P2029" s="2" t="s">
        <v>3237</v>
      </c>
      <c r="Q2029" s="2" t="s">
        <v>1792</v>
      </c>
      <c r="R2029" s="2" t="s">
        <v>1793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3237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1311</v>
      </c>
      <c r="R2030" s="2" t="s">
        <v>1312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1313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1439</v>
      </c>
      <c r="R2031" s="2" t="s">
        <v>1440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3233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3233</v>
      </c>
      <c r="AA2032" s="2" t="s">
        <v>46</v>
      </c>
      <c r="AB2032" s="2" t="s">
        <v>61</v>
      </c>
      <c r="AC2032" s="2" t="s">
        <v>3339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3233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3233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3233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3233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3233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3210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3233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1975</v>
      </c>
      <c r="R2039" s="2" t="s">
        <v>1976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3233</v>
      </c>
      <c r="AA2039" s="2" t="s">
        <v>76</v>
      </c>
      <c r="AB2039" s="2" t="s">
        <v>77</v>
      </c>
      <c r="AC2039" s="2" t="s">
        <v>1040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1977</v>
      </c>
      <c r="R2040" s="2" t="s">
        <v>1978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3233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1311</v>
      </c>
      <c r="R2041" s="2" t="s">
        <v>1312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1313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3233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3388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hidden="1" x14ac:dyDescent="0.2">
      <c r="A2047" s="2">
        <v>2025</v>
      </c>
      <c r="B2047" s="2">
        <v>11</v>
      </c>
      <c r="D2047" s="2" t="s">
        <v>1678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3233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1678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3233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1678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3233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hidden="1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1979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3233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1980</v>
      </c>
      <c r="R2056" s="2" t="s">
        <v>1981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3233</v>
      </c>
      <c r="AA2056" s="2" t="s">
        <v>76</v>
      </c>
      <c r="AB2056" s="2" t="s">
        <v>77</v>
      </c>
      <c r="AC2056" s="2" t="s">
        <v>1040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3233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3388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3233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3233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3233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hidden="1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hidden="1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3388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hidden="1" x14ac:dyDescent="0.2">
      <c r="A2068" s="2">
        <v>2025</v>
      </c>
      <c r="B2068" s="2">
        <v>11</v>
      </c>
      <c r="D2068" s="2" t="s">
        <v>1479</v>
      </c>
      <c r="E2068" s="2" t="s">
        <v>753</v>
      </c>
      <c r="F2068" s="2" t="s">
        <v>1480</v>
      </c>
      <c r="G2068" s="2">
        <v>506123758</v>
      </c>
      <c r="H2068" s="2" t="s">
        <v>110</v>
      </c>
      <c r="I2068" s="2" t="s">
        <v>1481</v>
      </c>
      <c r="J2068" s="2" t="s">
        <v>1482</v>
      </c>
      <c r="K2068" s="2">
        <v>936406952</v>
      </c>
      <c r="L2068" s="2" t="s">
        <v>462</v>
      </c>
      <c r="M2068" s="2" t="s">
        <v>40</v>
      </c>
      <c r="O2068" s="2" t="s">
        <v>1982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hidden="1" x14ac:dyDescent="0.2">
      <c r="A2069" s="2">
        <v>2025</v>
      </c>
      <c r="B2069" s="2">
        <v>11</v>
      </c>
      <c r="D2069" s="2" t="s">
        <v>1479</v>
      </c>
      <c r="E2069" s="2" t="s">
        <v>753</v>
      </c>
      <c r="F2069" s="2" t="s">
        <v>1480</v>
      </c>
      <c r="G2069" s="2">
        <v>506123758</v>
      </c>
      <c r="H2069" s="2" t="s">
        <v>110</v>
      </c>
      <c r="I2069" s="2" t="s">
        <v>1481</v>
      </c>
      <c r="J2069" s="2" t="s">
        <v>1482</v>
      </c>
      <c r="K2069" s="2">
        <v>936406952</v>
      </c>
      <c r="L2069" s="2" t="s">
        <v>462</v>
      </c>
      <c r="M2069" s="2" t="s">
        <v>40</v>
      </c>
      <c r="O2069" s="2" t="s">
        <v>1982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hidden="1" x14ac:dyDescent="0.2">
      <c r="A2070" s="2">
        <v>2025</v>
      </c>
      <c r="B2070" s="2">
        <v>11</v>
      </c>
      <c r="D2070" s="2" t="s">
        <v>1983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3233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hidden="1" x14ac:dyDescent="0.2">
      <c r="A2071" s="2">
        <v>2025</v>
      </c>
      <c r="B2071" s="2">
        <v>11</v>
      </c>
      <c r="D2071" s="2" t="s">
        <v>1983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3233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3233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3233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3233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1984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3233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1984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3233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hidden="1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1984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3233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hidden="1" x14ac:dyDescent="0.2">
      <c r="A2078" s="2">
        <v>2025</v>
      </c>
      <c r="B2078" s="2">
        <v>11</v>
      </c>
      <c r="D2078" s="2" t="s">
        <v>1492</v>
      </c>
      <c r="P2078" s="2" t="s">
        <v>115</v>
      </c>
      <c r="Q2078" s="2" t="s">
        <v>1985</v>
      </c>
      <c r="R2078" s="2" t="s">
        <v>1986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Z2078" s="2" t="s">
        <v>118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hidden="1" x14ac:dyDescent="0.2">
      <c r="A2079" s="2">
        <v>2025</v>
      </c>
      <c r="B2079" s="2">
        <v>11</v>
      </c>
      <c r="D2079" s="2" t="s">
        <v>1493</v>
      </c>
      <c r="P2079" s="2" t="s">
        <v>115</v>
      </c>
      <c r="Q2079" s="2" t="s">
        <v>1891</v>
      </c>
      <c r="R2079" s="2" t="s">
        <v>1892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Z2079" s="2" t="s">
        <v>105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hidden="1" x14ac:dyDescent="0.2">
      <c r="A2080" s="2">
        <v>2025</v>
      </c>
      <c r="B2080" s="2">
        <v>11</v>
      </c>
      <c r="D2080" s="2" t="s">
        <v>1493</v>
      </c>
      <c r="P2080" s="2" t="s">
        <v>115</v>
      </c>
      <c r="Q2080" s="2" t="s">
        <v>1583</v>
      </c>
      <c r="R2080" s="2" t="s">
        <v>1584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Z2080" s="2" t="s">
        <v>105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hidden="1" x14ac:dyDescent="0.2">
      <c r="A2081" s="2">
        <v>2025</v>
      </c>
      <c r="B2081" s="2">
        <v>11</v>
      </c>
      <c r="D2081" s="2" t="s">
        <v>1987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1988</v>
      </c>
      <c r="K2081" s="2">
        <v>924064533</v>
      </c>
      <c r="L2081" s="2" t="s">
        <v>113</v>
      </c>
      <c r="M2081" s="2" t="s">
        <v>81</v>
      </c>
      <c r="O2081" s="2" t="s">
        <v>1989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3233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1987</v>
      </c>
      <c r="M2082" s="2" t="s">
        <v>81</v>
      </c>
      <c r="P2082" s="2" t="s">
        <v>1040</v>
      </c>
      <c r="Q2082" s="2" t="s">
        <v>1990</v>
      </c>
      <c r="R2082" s="2" t="s">
        <v>1991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3233</v>
      </c>
      <c r="AA2082" s="2" t="s">
        <v>3391</v>
      </c>
      <c r="AB2082" s="2" t="s">
        <v>1992</v>
      </c>
      <c r="AC2082" s="2" t="s">
        <v>1040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1993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3233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3233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1994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3233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1994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3233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1995</v>
      </c>
      <c r="P2087" s="2" t="s">
        <v>73</v>
      </c>
      <c r="Q2087" s="2" t="s">
        <v>1996</v>
      </c>
      <c r="R2087" s="2" t="s">
        <v>1419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3233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1995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3233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hidden="1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1997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3388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3233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hidden="1" x14ac:dyDescent="0.2">
      <c r="A2091" s="2">
        <v>2025</v>
      </c>
      <c r="B2091" s="2">
        <v>11</v>
      </c>
      <c r="D2091" s="2" t="s">
        <v>1998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1998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hidden="1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Z2093" s="2" t="s">
        <v>118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hidden="1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3233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hidden="1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hidden="1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3233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hidden="1" x14ac:dyDescent="0.2">
      <c r="A2098" s="2">
        <v>2025</v>
      </c>
      <c r="B2098" s="2">
        <v>11</v>
      </c>
      <c r="C2098" s="2" t="s">
        <v>3448</v>
      </c>
      <c r="D2098" s="2" t="s">
        <v>1999</v>
      </c>
      <c r="E2098" s="2" t="s">
        <v>109</v>
      </c>
      <c r="F2098" s="2" t="s">
        <v>39</v>
      </c>
      <c r="H2098" s="2" t="s">
        <v>291</v>
      </c>
      <c r="I2098" s="2" t="s">
        <v>3288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hidden="1" x14ac:dyDescent="0.2">
      <c r="A2099" s="2">
        <v>2025</v>
      </c>
      <c r="B2099" s="2">
        <v>11</v>
      </c>
      <c r="C2099" s="2" t="s">
        <v>3448</v>
      </c>
      <c r="D2099" s="2" t="s">
        <v>1999</v>
      </c>
      <c r="E2099" s="2" t="s">
        <v>109</v>
      </c>
      <c r="F2099" s="2" t="s">
        <v>39</v>
      </c>
      <c r="H2099" s="2" t="s">
        <v>291</v>
      </c>
      <c r="I2099" s="2" t="s">
        <v>3288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1699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3233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1699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3233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1699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3233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2000</v>
      </c>
      <c r="M2103" s="2" t="s">
        <v>81</v>
      </c>
      <c r="O2103" s="2" t="s">
        <v>2001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3233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2000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3233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2002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2002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hidden="1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3233</v>
      </c>
      <c r="AA2107" s="2" t="s">
        <v>46</v>
      </c>
      <c r="AB2107" s="2" t="s">
        <v>61</v>
      </c>
      <c r="AC2107" s="2" t="s">
        <v>3339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hidden="1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3233</v>
      </c>
      <c r="AA2108" s="2" t="s">
        <v>46</v>
      </c>
      <c r="AB2108" s="2" t="s">
        <v>61</v>
      </c>
      <c r="AC2108" s="2" t="s">
        <v>3339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hidden="1" x14ac:dyDescent="0.2">
      <c r="A2109" s="2">
        <v>2025</v>
      </c>
      <c r="B2109" s="2">
        <v>11</v>
      </c>
      <c r="D2109" s="2" t="s">
        <v>1795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hidden="1" x14ac:dyDescent="0.2">
      <c r="A2110" s="2">
        <v>2025</v>
      </c>
      <c r="B2110" s="2">
        <v>11</v>
      </c>
      <c r="D2110" s="2" t="s">
        <v>1795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hidden="1" x14ac:dyDescent="0.2">
      <c r="A2111" s="2">
        <v>2025</v>
      </c>
      <c r="B2111" s="2">
        <v>11</v>
      </c>
      <c r="C2111" s="2" t="s">
        <v>3450</v>
      </c>
      <c r="D2111" s="2" t="s">
        <v>1893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3233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hidden="1" x14ac:dyDescent="0.2">
      <c r="A2112" s="2">
        <v>2025</v>
      </c>
      <c r="B2112" s="2">
        <v>11</v>
      </c>
      <c r="C2112" s="2" t="s">
        <v>3450</v>
      </c>
      <c r="D2112" s="2" t="s">
        <v>1893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3233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hidden="1" x14ac:dyDescent="0.2">
      <c r="A2113" s="2">
        <v>2025</v>
      </c>
      <c r="B2113" s="2">
        <v>11</v>
      </c>
      <c r="C2113" s="2" t="s">
        <v>3450</v>
      </c>
      <c r="D2113" s="2" t="s">
        <v>1893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2003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3233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2004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hidden="1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2004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hidden="1" x14ac:dyDescent="0.2">
      <c r="A2116" s="2">
        <v>2025</v>
      </c>
      <c r="B2116" s="2">
        <v>11</v>
      </c>
      <c r="D2116" s="2" t="s">
        <v>2005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2005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hidden="1" x14ac:dyDescent="0.2">
      <c r="A2118" s="2">
        <v>2025</v>
      </c>
      <c r="B2118" s="2">
        <v>11</v>
      </c>
      <c r="D2118" s="2" t="s">
        <v>2005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3233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3233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hidden="1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2006</v>
      </c>
      <c r="R2121" s="2" t="s">
        <v>2007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3233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hidden="1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2008</v>
      </c>
      <c r="R2122" s="2" t="s">
        <v>2009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Z2122" s="2" t="s">
        <v>118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hidden="1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3233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2010</v>
      </c>
      <c r="Q2124" s="2" t="s">
        <v>2011</v>
      </c>
      <c r="R2124" s="2" t="s">
        <v>2012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hidden="1" x14ac:dyDescent="0.2">
      <c r="A2125" s="2">
        <v>2025</v>
      </c>
      <c r="B2125" s="2">
        <v>11</v>
      </c>
      <c r="D2125" s="2" t="s">
        <v>2013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hidden="1" x14ac:dyDescent="0.2">
      <c r="A2126" s="2">
        <v>2025</v>
      </c>
      <c r="B2126" s="2">
        <v>11</v>
      </c>
      <c r="D2126" s="2" t="s">
        <v>2013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hidden="1" x14ac:dyDescent="0.2">
      <c r="A2127" s="2">
        <v>2025</v>
      </c>
      <c r="B2127" s="2">
        <v>11</v>
      </c>
      <c r="D2127" s="2" t="s">
        <v>2014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Z2127" s="2" t="s">
        <v>118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hidden="1" x14ac:dyDescent="0.2">
      <c r="A2128" s="2">
        <v>2025</v>
      </c>
      <c r="B2128" s="2">
        <v>11</v>
      </c>
      <c r="D2128" s="2" t="s">
        <v>2014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hidden="1" x14ac:dyDescent="0.2">
      <c r="A2129" s="2">
        <v>2025</v>
      </c>
      <c r="B2129" s="2">
        <v>11</v>
      </c>
      <c r="D2129" s="2" t="s">
        <v>2014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2482</v>
      </c>
      <c r="J2130" s="2" t="s">
        <v>3129</v>
      </c>
      <c r="K2130" s="2">
        <v>965864665</v>
      </c>
      <c r="L2130" s="2" t="s">
        <v>345</v>
      </c>
      <c r="M2130" s="2" t="s">
        <v>81</v>
      </c>
      <c r="O2130" s="2" t="s">
        <v>3133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3233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2482</v>
      </c>
      <c r="J2131" s="2" t="s">
        <v>3129</v>
      </c>
      <c r="K2131" s="2">
        <v>965864665</v>
      </c>
      <c r="L2131" s="2" t="s">
        <v>345</v>
      </c>
      <c r="M2131" s="2" t="s">
        <v>81</v>
      </c>
      <c r="O2131" s="2" t="s">
        <v>3133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3233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hidden="1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3233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3233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hidden="1" x14ac:dyDescent="0.2">
      <c r="A2135" s="2">
        <v>2025</v>
      </c>
      <c r="B2135" s="2">
        <v>11</v>
      </c>
      <c r="D2135" s="2" t="s">
        <v>2015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hidden="1" x14ac:dyDescent="0.2">
      <c r="A2136" s="2">
        <v>2025</v>
      </c>
      <c r="B2136" s="2">
        <v>11</v>
      </c>
      <c r="D2136" s="2" t="s">
        <v>2015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hidden="1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2544</v>
      </c>
      <c r="L2137" s="2" t="s">
        <v>100</v>
      </c>
      <c r="M2137" s="2" t="s">
        <v>81</v>
      </c>
      <c r="O2137" s="2" t="s">
        <v>2016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3233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2544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3233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2544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3233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3233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3233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1376</v>
      </c>
      <c r="P2142" s="2" t="s">
        <v>115</v>
      </c>
      <c r="Q2142" s="2" t="s">
        <v>2017</v>
      </c>
      <c r="R2142" s="2" t="s">
        <v>2018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Z2142" s="2" t="s">
        <v>118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hidden="1" x14ac:dyDescent="0.2">
      <c r="A2143" s="2">
        <v>2025</v>
      </c>
      <c r="B2143" s="2">
        <v>11</v>
      </c>
      <c r="D2143" s="2" t="s">
        <v>1376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hidden="1" x14ac:dyDescent="0.2">
      <c r="A2144" s="2">
        <v>2025</v>
      </c>
      <c r="B2144" s="2">
        <v>11</v>
      </c>
      <c r="D2144" s="2" t="s">
        <v>1376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hidden="1" x14ac:dyDescent="0.2">
      <c r="A2145" s="2">
        <v>2025</v>
      </c>
      <c r="B2145" s="2">
        <v>11</v>
      </c>
      <c r="D2145" s="2" t="s">
        <v>1376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1376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hidden="1" x14ac:dyDescent="0.2">
      <c r="A2147" s="2">
        <v>2025</v>
      </c>
      <c r="B2147" s="2">
        <v>11</v>
      </c>
      <c r="D2147" s="2" t="s">
        <v>1558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1559</v>
      </c>
      <c r="J2147" s="2" t="s">
        <v>1560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3233</v>
      </c>
      <c r="AA2147" s="2" t="s">
        <v>46</v>
      </c>
      <c r="AB2147" s="2" t="s">
        <v>61</v>
      </c>
      <c r="AC2147" s="2" t="s">
        <v>3339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hidden="1" x14ac:dyDescent="0.2">
      <c r="A2148" s="2">
        <v>2025</v>
      </c>
      <c r="B2148" s="2">
        <v>11</v>
      </c>
      <c r="D2148" s="2" t="s">
        <v>1558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1559</v>
      </c>
      <c r="J2148" s="2" t="s">
        <v>1560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3233</v>
      </c>
      <c r="AA2148" s="2" t="s">
        <v>46</v>
      </c>
      <c r="AB2148" s="2" t="s">
        <v>61</v>
      </c>
      <c r="AC2148" s="2" t="s">
        <v>3339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hidden="1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3233</v>
      </c>
      <c r="AA2149" s="2" t="s">
        <v>46</v>
      </c>
      <c r="AB2149" s="2" t="s">
        <v>61</v>
      </c>
      <c r="AC2149" s="2" t="s">
        <v>3339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hidden="1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3233</v>
      </c>
      <c r="AA2150" s="2" t="s">
        <v>46</v>
      </c>
      <c r="AB2150" s="2" t="s">
        <v>61</v>
      </c>
      <c r="AC2150" s="2" t="s">
        <v>3339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hidden="1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hidden="1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hidden="1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2019</v>
      </c>
      <c r="P2153" s="2" t="s">
        <v>43</v>
      </c>
      <c r="Q2153" s="2" t="s">
        <v>2020</v>
      </c>
      <c r="R2153" s="2" t="s">
        <v>2021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3233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hidden="1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2019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3233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hidden="1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2019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3233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3182</v>
      </c>
      <c r="K2156" s="2">
        <v>911577458</v>
      </c>
      <c r="L2156" s="2" t="s">
        <v>178</v>
      </c>
      <c r="M2156" s="2" t="s">
        <v>41</v>
      </c>
      <c r="O2156" s="2" t="s">
        <v>3185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3233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3182</v>
      </c>
      <c r="K2157" s="2">
        <v>911577458</v>
      </c>
      <c r="L2157" s="2" t="s">
        <v>178</v>
      </c>
      <c r="M2157" s="2" t="s">
        <v>41</v>
      </c>
      <c r="O2157" s="2" t="s">
        <v>3185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3233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3182</v>
      </c>
      <c r="K2158" s="2">
        <v>911577458</v>
      </c>
      <c r="L2158" s="2" t="s">
        <v>178</v>
      </c>
      <c r="M2158" s="2" t="s">
        <v>41</v>
      </c>
      <c r="O2158" s="2" t="s">
        <v>3185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3233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2022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1579</v>
      </c>
      <c r="AB2159" s="2" t="s">
        <v>389</v>
      </c>
      <c r="AC2159" s="2" t="s">
        <v>1330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2022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hidden="1" x14ac:dyDescent="0.2">
      <c r="A2161" s="2">
        <v>2025</v>
      </c>
      <c r="B2161" s="2">
        <v>11</v>
      </c>
      <c r="D2161" s="2" t="s">
        <v>2023</v>
      </c>
      <c r="M2161" s="2" t="s">
        <v>40</v>
      </c>
      <c r="P2161" s="2" t="s">
        <v>188</v>
      </c>
      <c r="Q2161" s="2" t="s">
        <v>1311</v>
      </c>
      <c r="R2161" s="2" t="s">
        <v>1312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1313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hidden="1" x14ac:dyDescent="0.2">
      <c r="A2162" s="2">
        <v>2025</v>
      </c>
      <c r="B2162" s="2">
        <v>11</v>
      </c>
      <c r="D2162" s="2" t="s">
        <v>2024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2025</v>
      </c>
      <c r="J2162" s="2" t="s">
        <v>2026</v>
      </c>
      <c r="K2162" s="2">
        <v>966004647</v>
      </c>
      <c r="L2162" s="2" t="s">
        <v>462</v>
      </c>
      <c r="M2162" s="2" t="s">
        <v>81</v>
      </c>
      <c r="O2162" s="2" t="s">
        <v>2027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3233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2024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3233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hidden="1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3388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hidden="1" x14ac:dyDescent="0.2">
      <c r="A2167" s="2">
        <v>2025</v>
      </c>
      <c r="B2167" s="2">
        <v>11</v>
      </c>
      <c r="D2167" s="2" t="s">
        <v>823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hidden="1" x14ac:dyDescent="0.2">
      <c r="A2168" s="2">
        <v>2025</v>
      </c>
      <c r="B2168" s="2">
        <v>11</v>
      </c>
      <c r="D2168" s="2" t="s">
        <v>823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hidden="1" x14ac:dyDescent="0.2">
      <c r="A2169" s="2">
        <v>2025</v>
      </c>
      <c r="B2169" s="2">
        <v>11</v>
      </c>
      <c r="D2169" s="2" t="s">
        <v>823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hidden="1" x14ac:dyDescent="0.2">
      <c r="A2170" s="2">
        <v>2025</v>
      </c>
      <c r="B2170" s="2">
        <v>11</v>
      </c>
      <c r="D2170" s="2" t="s">
        <v>1391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1391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hidden="1" x14ac:dyDescent="0.2">
      <c r="A2172" s="2">
        <v>2025</v>
      </c>
      <c r="B2172" s="2">
        <v>11</v>
      </c>
      <c r="D2172" s="2" t="s">
        <v>1391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2028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hidden="1" x14ac:dyDescent="0.2">
      <c r="A2174" s="2">
        <v>2025</v>
      </c>
      <c r="B2174" s="2">
        <v>11</v>
      </c>
      <c r="D2174" s="2" t="s">
        <v>2028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3233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2028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3233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3237</v>
      </c>
      <c r="Q2176" s="2" t="s">
        <v>2029</v>
      </c>
      <c r="R2176" s="2" t="s">
        <v>2030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3237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3237</v>
      </c>
      <c r="Q2177" s="2" t="s">
        <v>2031</v>
      </c>
      <c r="R2177" s="2" t="s">
        <v>2032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2033</v>
      </c>
      <c r="AC2177" s="2" t="s">
        <v>3237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hidden="1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hidden="1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3233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3233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hidden="1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2034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3233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2034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3233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2034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3233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2034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3233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3233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2035</v>
      </c>
      <c r="R2187" s="2" t="s">
        <v>2036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3233</v>
      </c>
      <c r="AA2187" s="2" t="s">
        <v>1043</v>
      </c>
      <c r="AB2187" s="2" t="s">
        <v>2037</v>
      </c>
      <c r="AC2187" s="2" t="s">
        <v>1040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2038</v>
      </c>
      <c r="R2188" s="2" t="s">
        <v>2039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3233</v>
      </c>
      <c r="AA2188" s="2" t="s">
        <v>1043</v>
      </c>
      <c r="AB2188" s="2" t="s">
        <v>2037</v>
      </c>
      <c r="AC2188" s="2" t="s">
        <v>1040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hidden="1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3233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hidden="1" x14ac:dyDescent="0.2">
      <c r="A2192" s="2">
        <v>2025</v>
      </c>
      <c r="B2192" s="2">
        <v>11</v>
      </c>
      <c r="D2192" s="2" t="s">
        <v>2040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2040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hidden="1" x14ac:dyDescent="0.2">
      <c r="A2194" s="2">
        <v>2025</v>
      </c>
      <c r="B2194" s="2">
        <v>11</v>
      </c>
      <c r="D2194" s="2" t="s">
        <v>2040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hidden="1" x14ac:dyDescent="0.2">
      <c r="A2195" s="2">
        <v>2025</v>
      </c>
      <c r="B2195" s="2">
        <v>11</v>
      </c>
      <c r="D2195" s="2" t="s">
        <v>1913</v>
      </c>
      <c r="P2195" s="2" t="s">
        <v>283</v>
      </c>
      <c r="Q2195" s="2" t="s">
        <v>1552</v>
      </c>
      <c r="R2195" s="2" t="s">
        <v>1553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1913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3233</v>
      </c>
      <c r="AA2196" s="2" t="s">
        <v>46</v>
      </c>
      <c r="AB2196" s="2" t="s">
        <v>61</v>
      </c>
      <c r="AC2196" s="2" t="s">
        <v>3339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1720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1720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hidden="1" x14ac:dyDescent="0.2">
      <c r="A2199" s="2">
        <v>2025</v>
      </c>
      <c r="B2199" s="2">
        <v>11</v>
      </c>
      <c r="D2199" s="2" t="s">
        <v>1720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hidden="1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1439</v>
      </c>
      <c r="R2200" s="2" t="s">
        <v>1440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3233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hidden="1" x14ac:dyDescent="0.2">
      <c r="A2202" s="2">
        <v>2025</v>
      </c>
      <c r="B2202" s="2">
        <v>11</v>
      </c>
      <c r="D2202" s="2" t="s">
        <v>1402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hidden="1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2041</v>
      </c>
      <c r="R2203" s="2" t="s">
        <v>2042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3233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hidden="1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3233</v>
      </c>
      <c r="AA2204" s="2" t="s">
        <v>46</v>
      </c>
      <c r="AB2204" s="2" t="s">
        <v>61</v>
      </c>
      <c r="AC2204" s="2" t="s">
        <v>3339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1361</v>
      </c>
      <c r="Q2205" s="2" t="s">
        <v>1362</v>
      </c>
      <c r="R2205" s="2" t="s">
        <v>1363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3233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hidden="1" x14ac:dyDescent="0.2">
      <c r="A2206" s="2">
        <v>2025</v>
      </c>
      <c r="B2206" s="2">
        <v>11</v>
      </c>
      <c r="C2206" s="2" t="s">
        <v>3402</v>
      </c>
      <c r="D2206" s="2" t="s">
        <v>1724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1439</v>
      </c>
      <c r="R2206" s="2" t="s">
        <v>1440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3233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3402</v>
      </c>
      <c r="D2207" s="2" t="s">
        <v>1724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2043</v>
      </c>
      <c r="R2207" s="2" t="s">
        <v>2044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3233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1559</v>
      </c>
      <c r="J2208" s="2" t="s">
        <v>1830</v>
      </c>
      <c r="L2208" s="2" t="s">
        <v>178</v>
      </c>
      <c r="M2208" s="2" t="s">
        <v>41</v>
      </c>
      <c r="P2208" s="2" t="s">
        <v>283</v>
      </c>
      <c r="Q2208" s="2" t="s">
        <v>2045</v>
      </c>
      <c r="R2208" s="2" t="s">
        <v>2046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3233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1559</v>
      </c>
      <c r="J2209" s="2" t="s">
        <v>1830</v>
      </c>
      <c r="L2209" s="2" t="s">
        <v>178</v>
      </c>
      <c r="M2209" s="2" t="s">
        <v>41</v>
      </c>
      <c r="P2209" s="2" t="s">
        <v>283</v>
      </c>
      <c r="Q2209" s="2" t="s">
        <v>2047</v>
      </c>
      <c r="R2209" s="2" t="s">
        <v>2048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3233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1559</v>
      </c>
      <c r="J2210" s="2" t="s">
        <v>1830</v>
      </c>
      <c r="L2210" s="2" t="s">
        <v>178</v>
      </c>
      <c r="M2210" s="2" t="s">
        <v>41</v>
      </c>
      <c r="P2210" s="2" t="s">
        <v>283</v>
      </c>
      <c r="Q2210" s="2" t="s">
        <v>2049</v>
      </c>
      <c r="R2210" s="2" t="s">
        <v>2050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3233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1559</v>
      </c>
      <c r="J2211" s="2" t="s">
        <v>1830</v>
      </c>
      <c r="L2211" s="2" t="s">
        <v>178</v>
      </c>
      <c r="M2211" s="2" t="s">
        <v>41</v>
      </c>
      <c r="P2211" s="2" t="s">
        <v>283</v>
      </c>
      <c r="Q2211" s="2" t="s">
        <v>2051</v>
      </c>
      <c r="R2211" s="2" t="s">
        <v>2052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3233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hidden="1" x14ac:dyDescent="0.2">
      <c r="A2212" s="2">
        <v>2025</v>
      </c>
      <c r="B2212" s="2">
        <v>11</v>
      </c>
      <c r="D2212" s="2" t="s">
        <v>2053</v>
      </c>
      <c r="M2212" s="2" t="s">
        <v>81</v>
      </c>
      <c r="O2212" s="2" t="s">
        <v>2054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3233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2053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3233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hidden="1" x14ac:dyDescent="0.2">
      <c r="A2214" s="2">
        <v>2025</v>
      </c>
      <c r="B2214" s="2">
        <v>11</v>
      </c>
      <c r="D2214" s="2" t="s">
        <v>2055</v>
      </c>
      <c r="P2214" s="2" t="s">
        <v>115</v>
      </c>
      <c r="Q2214" s="2" t="s">
        <v>2056</v>
      </c>
      <c r="R2214" s="2" t="s">
        <v>2057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hidden="1" x14ac:dyDescent="0.2">
      <c r="A2215" s="2">
        <v>2025</v>
      </c>
      <c r="B2215" s="2">
        <v>11</v>
      </c>
      <c r="D2215" s="2" t="s">
        <v>2058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3233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2058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3233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hidden="1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2059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3233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hidden="1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3233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hidden="1" x14ac:dyDescent="0.2">
      <c r="A2220" s="2">
        <v>2025</v>
      </c>
      <c r="B2220" s="2">
        <v>11</v>
      </c>
      <c r="D2220" s="2" t="s">
        <v>1726</v>
      </c>
      <c r="P2220" s="2" t="s">
        <v>115</v>
      </c>
      <c r="Q2220" s="2" t="s">
        <v>1797</v>
      </c>
      <c r="R2220" s="2" t="s">
        <v>1798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hidden="1" x14ac:dyDescent="0.2">
      <c r="A2221" s="2">
        <v>2025</v>
      </c>
      <c r="B2221" s="2">
        <v>11</v>
      </c>
      <c r="D2221" s="2" t="s">
        <v>1421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2417</v>
      </c>
      <c r="J2221" s="2" t="s">
        <v>2418</v>
      </c>
      <c r="L2221" s="2" t="s">
        <v>202</v>
      </c>
      <c r="M2221" s="2" t="s">
        <v>81</v>
      </c>
      <c r="O2221" s="2" t="s">
        <v>3171</v>
      </c>
      <c r="P2221" s="2" t="s">
        <v>1040</v>
      </c>
      <c r="Q2221" s="2" t="s">
        <v>2060</v>
      </c>
      <c r="R2221" s="2" t="s">
        <v>2061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3233</v>
      </c>
      <c r="AA2221" s="2" t="s">
        <v>1043</v>
      </c>
      <c r="AB2221" s="2" t="s">
        <v>1321</v>
      </c>
      <c r="AC2221" s="2" t="s">
        <v>1040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1421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2417</v>
      </c>
      <c r="J2222" s="2" t="s">
        <v>2418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hidden="1" x14ac:dyDescent="0.2">
      <c r="A2223" s="2">
        <v>2025</v>
      </c>
      <c r="B2223" s="2">
        <v>11</v>
      </c>
      <c r="D2223" s="2" t="s">
        <v>1422</v>
      </c>
      <c r="P2223" s="2" t="s">
        <v>73</v>
      </c>
      <c r="Q2223" s="2" t="s">
        <v>2062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3233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1422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3233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hidden="1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2063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3233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2063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3233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2064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3233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2064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2063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3233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hidden="1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3232</v>
      </c>
      <c r="P2230" s="2" t="s">
        <v>283</v>
      </c>
      <c r="Q2230" s="2" t="s">
        <v>2065</v>
      </c>
      <c r="R2230" s="2" t="s">
        <v>2066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3233</v>
      </c>
      <c r="AA2230" s="2" t="s">
        <v>72</v>
      </c>
      <c r="AB2230" s="2" t="s">
        <v>1605</v>
      </c>
      <c r="AC2230" s="2" t="s">
        <v>1605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2067</v>
      </c>
      <c r="E2231" s="2" t="s">
        <v>109</v>
      </c>
      <c r="G2231" s="2">
        <v>506055884</v>
      </c>
      <c r="H2231" s="2" t="s">
        <v>40</v>
      </c>
      <c r="I2231" s="2" t="s">
        <v>2068</v>
      </c>
      <c r="J2231" s="2" t="s">
        <v>2069</v>
      </c>
      <c r="L2231" s="2" t="s">
        <v>100</v>
      </c>
      <c r="M2231" s="2" t="s">
        <v>40</v>
      </c>
      <c r="O2231" s="2" t="s">
        <v>2070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1626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3233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hidden="1" x14ac:dyDescent="0.2">
      <c r="A2233" s="2">
        <v>2025</v>
      </c>
      <c r="B2233" s="2">
        <v>11</v>
      </c>
      <c r="D2233" s="2" t="s">
        <v>1626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3233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hidden="1" x14ac:dyDescent="0.2">
      <c r="A2234" s="2">
        <v>2025</v>
      </c>
      <c r="B2234" s="2">
        <v>11</v>
      </c>
      <c r="D2234" s="2" t="s">
        <v>1626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3233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hidden="1" x14ac:dyDescent="0.2">
      <c r="A2235" s="2">
        <v>2025</v>
      </c>
      <c r="B2235" s="2">
        <v>11</v>
      </c>
      <c r="D2235" s="2" t="s">
        <v>1626</v>
      </c>
      <c r="P2235" s="2" t="s">
        <v>43</v>
      </c>
      <c r="Q2235" s="2" t="s">
        <v>1736</v>
      </c>
      <c r="R2235" s="2" t="s">
        <v>1737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3233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hidden="1" x14ac:dyDescent="0.2">
      <c r="A2236" s="2">
        <v>2025</v>
      </c>
      <c r="B2236" s="2">
        <v>11</v>
      </c>
      <c r="D2236" s="2" t="s">
        <v>1626</v>
      </c>
      <c r="P2236" s="2" t="s">
        <v>43</v>
      </c>
      <c r="Q2236" s="2" t="s">
        <v>2071</v>
      </c>
      <c r="R2236" s="2" t="s">
        <v>2072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3233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hidden="1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3233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3233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3233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hidden="1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3233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2073</v>
      </c>
      <c r="R2241" s="2" t="s">
        <v>2074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3233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hidden="1" x14ac:dyDescent="0.2">
      <c r="A2242" s="2">
        <v>2025</v>
      </c>
      <c r="B2242" s="2">
        <v>11</v>
      </c>
      <c r="D2242" s="2" t="s">
        <v>1293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hidden="1" x14ac:dyDescent="0.2">
      <c r="A2243" s="2">
        <v>2025</v>
      </c>
      <c r="B2243" s="2">
        <v>11</v>
      </c>
      <c r="D2243" s="2" t="s">
        <v>1293</v>
      </c>
      <c r="P2243" s="2" t="s">
        <v>69</v>
      </c>
      <c r="Q2243" s="2" t="s">
        <v>2075</v>
      </c>
      <c r="R2243" s="2" t="s">
        <v>2076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3238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hidden="1" x14ac:dyDescent="0.2">
      <c r="A2244" s="2">
        <v>2025</v>
      </c>
      <c r="B2244" s="2">
        <v>11</v>
      </c>
      <c r="D2244" s="2" t="s">
        <v>1948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1948</v>
      </c>
      <c r="P2245" s="2" t="s">
        <v>115</v>
      </c>
      <c r="Q2245" s="2" t="s">
        <v>1335</v>
      </c>
      <c r="R2245" s="2" t="s">
        <v>1336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Z2245" s="2" t="s">
        <v>118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hidden="1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3233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3233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3233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hidden="1" x14ac:dyDescent="0.2">
      <c r="A2249" s="2">
        <v>2025</v>
      </c>
      <c r="B2249" s="2">
        <v>11</v>
      </c>
      <c r="D2249" s="2" t="s">
        <v>2077</v>
      </c>
      <c r="P2249" s="2" t="s">
        <v>115</v>
      </c>
      <c r="Q2249" s="2" t="s">
        <v>1891</v>
      </c>
      <c r="R2249" s="2" t="s">
        <v>1892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hidden="1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3233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3233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hidden="1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hidden="1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3233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3233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2078</v>
      </c>
      <c r="P2255" s="2" t="s">
        <v>283</v>
      </c>
      <c r="Q2255" s="2" t="s">
        <v>1785</v>
      </c>
      <c r="R2255" s="2" t="s">
        <v>1786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hidden="1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2079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3233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2079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3233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2079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3233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hidden="1" x14ac:dyDescent="0.2">
      <c r="A2259" s="2">
        <v>2025</v>
      </c>
      <c r="B2259" s="2">
        <v>11</v>
      </c>
      <c r="D2259" s="2" t="s">
        <v>1298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1299</v>
      </c>
      <c r="L2259" s="2" t="s">
        <v>340</v>
      </c>
      <c r="P2259" s="2" t="s">
        <v>73</v>
      </c>
      <c r="Q2259" s="2" t="s">
        <v>1451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3233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1298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1299</v>
      </c>
      <c r="L2260" s="2" t="s">
        <v>340</v>
      </c>
      <c r="M2260" s="2" t="s">
        <v>81</v>
      </c>
      <c r="O2260" s="2" t="s">
        <v>3209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3233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1298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1299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3233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hidden="1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2080</v>
      </c>
      <c r="P2262" s="2" t="s">
        <v>85</v>
      </c>
      <c r="Q2262" s="2" t="s">
        <v>1799</v>
      </c>
      <c r="R2262" s="2" t="s">
        <v>1800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3233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2081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3233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2082</v>
      </c>
      <c r="R2264" s="2" t="s">
        <v>2083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Z2264" s="2" t="s">
        <v>118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hidden="1" x14ac:dyDescent="0.2">
      <c r="A2265" s="2">
        <v>2025</v>
      </c>
      <c r="B2265" s="2">
        <v>11</v>
      </c>
      <c r="D2265" s="2" t="s">
        <v>1664</v>
      </c>
      <c r="P2265" s="2" t="s">
        <v>115</v>
      </c>
      <c r="Q2265" s="2" t="s">
        <v>1885</v>
      </c>
      <c r="R2265" s="2" t="s">
        <v>1886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Z2265" s="2" t="s">
        <v>118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hidden="1" x14ac:dyDescent="0.2">
      <c r="A2266" s="2">
        <v>2025</v>
      </c>
      <c r="B2266" s="2">
        <v>11</v>
      </c>
      <c r="D2266" s="2" t="s">
        <v>1664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hidden="1" x14ac:dyDescent="0.2">
      <c r="A2267" s="2">
        <v>2025</v>
      </c>
      <c r="B2267" s="2">
        <v>11</v>
      </c>
      <c r="D2267" s="2" t="s">
        <v>1664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hidden="1" x14ac:dyDescent="0.2">
      <c r="A2268" s="2">
        <v>2025</v>
      </c>
      <c r="B2268" s="2">
        <v>11</v>
      </c>
      <c r="D2268" s="2" t="s">
        <v>2084</v>
      </c>
      <c r="P2268" s="2" t="s">
        <v>69</v>
      </c>
      <c r="Q2268" s="2" t="s">
        <v>2085</v>
      </c>
      <c r="R2268" s="2" t="s">
        <v>2086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3238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hidden="1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hidden="1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3233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1974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3233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1974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3233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hidden="1" x14ac:dyDescent="0.2">
      <c r="A2273" s="2">
        <v>2025</v>
      </c>
      <c r="B2273" s="2">
        <v>11</v>
      </c>
      <c r="D2273" s="2" t="s">
        <v>2087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hidden="1" x14ac:dyDescent="0.2">
      <c r="A2274" s="2">
        <v>2025</v>
      </c>
      <c r="B2274" s="2">
        <v>11</v>
      </c>
      <c r="D2274" s="2" t="s">
        <v>2087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hidden="1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2300</v>
      </c>
      <c r="J2275" s="2" t="s">
        <v>2301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2088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hidden="1" x14ac:dyDescent="0.2">
      <c r="A2277" s="2">
        <v>2025</v>
      </c>
      <c r="B2277" s="2">
        <v>11</v>
      </c>
      <c r="D2277" s="2" t="s">
        <v>2088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hidden="1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3233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3233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3233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3233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3233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3233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hidden="1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3233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hidden="1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3233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hidden="1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3233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hidden="1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3233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hidden="1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3233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hidden="1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3233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3233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hidden="1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3233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3233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3233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2043</v>
      </c>
      <c r="R2294" s="2" t="s">
        <v>2044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3233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3233</v>
      </c>
      <c r="AA2295" s="2" t="s">
        <v>46</v>
      </c>
      <c r="AB2295" s="2" t="s">
        <v>61</v>
      </c>
      <c r="AC2295" s="2" t="s">
        <v>3339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3233</v>
      </c>
      <c r="AA2296" s="2" t="s">
        <v>46</v>
      </c>
      <c r="AB2296" s="2" t="s">
        <v>61</v>
      </c>
      <c r="AC2296" s="2" t="s">
        <v>3339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2089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3233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3233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3233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3233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3233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1574</v>
      </c>
      <c r="R2302" s="2" t="s">
        <v>1575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3233</v>
      </c>
      <c r="AA2302" s="2" t="s">
        <v>76</v>
      </c>
      <c r="AB2302" s="2" t="s">
        <v>77</v>
      </c>
      <c r="AC2302" s="2" t="s">
        <v>1040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3394</v>
      </c>
      <c r="Q2303" s="2" t="s">
        <v>2090</v>
      </c>
      <c r="R2303" s="2" t="s">
        <v>2091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3233</v>
      </c>
      <c r="AA2303" s="2" t="s">
        <v>2173</v>
      </c>
      <c r="AB2303" s="2" t="s">
        <v>2253</v>
      </c>
      <c r="AC2303" s="2" t="s">
        <v>3394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3395</v>
      </c>
      <c r="Q2304" s="2" t="s">
        <v>2092</v>
      </c>
      <c r="R2304" s="2" t="s">
        <v>2093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3233</v>
      </c>
      <c r="AA2304" s="2" t="s">
        <v>1043</v>
      </c>
      <c r="AB2304" s="2" t="s">
        <v>1273</v>
      </c>
      <c r="AC2304" s="2" t="s">
        <v>3395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3395</v>
      </c>
      <c r="Q2305" s="2" t="s">
        <v>2094</v>
      </c>
      <c r="R2305" s="2" t="s">
        <v>2095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3233</v>
      </c>
      <c r="AA2305" s="2" t="s">
        <v>1043</v>
      </c>
      <c r="AB2305" s="2" t="s">
        <v>1273</v>
      </c>
      <c r="AC2305" s="2" t="s">
        <v>3395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3395</v>
      </c>
      <c r="Q2306" s="2" t="s">
        <v>2096</v>
      </c>
      <c r="R2306" s="2" t="s">
        <v>2097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3233</v>
      </c>
      <c r="AA2306" s="2" t="s">
        <v>1043</v>
      </c>
      <c r="AB2306" s="2" t="s">
        <v>1273</v>
      </c>
      <c r="AC2306" s="2" t="s">
        <v>3395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3394</v>
      </c>
      <c r="Q2307" s="2" t="s">
        <v>2098</v>
      </c>
      <c r="R2307" s="2" t="s">
        <v>2099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3233</v>
      </c>
      <c r="AA2307" s="2" t="s">
        <v>2173</v>
      </c>
      <c r="AB2307" s="2" t="s">
        <v>2253</v>
      </c>
      <c r="AC2307" s="2" t="s">
        <v>3394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3233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hidden="1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2100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1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545.75549999999998</v>
      </c>
      <c r="AL2310" s="5">
        <f t="shared" si="262"/>
        <v>0.30489134078212288</v>
      </c>
    </row>
    <row r="2311" spans="1:38" hidden="1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2100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hidden="1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2100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2100</v>
      </c>
      <c r="P2313" s="2" t="s">
        <v>69</v>
      </c>
      <c r="Q2313" s="2" t="s">
        <v>1624</v>
      </c>
      <c r="R2313" s="2" t="s">
        <v>1625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2101</v>
      </c>
      <c r="AB2313" s="2" t="s">
        <v>69</v>
      </c>
      <c r="AC2313" s="2" t="s">
        <v>3238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hidden="1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2100</v>
      </c>
      <c r="P2314" s="2" t="s">
        <v>1196</v>
      </c>
      <c r="Q2314" s="2" t="s">
        <v>1717</v>
      </c>
      <c r="R2314" s="2" t="s">
        <v>1718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hidden="1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2100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hidden="1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hidden="1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hidden="1" x14ac:dyDescent="0.2">
      <c r="A2319" s="2">
        <v>2025</v>
      </c>
      <c r="B2319" s="2">
        <v>12</v>
      </c>
      <c r="D2319" s="2" t="s">
        <v>2102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2102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hidden="1" x14ac:dyDescent="0.2">
      <c r="A2321" s="2">
        <v>2025</v>
      </c>
      <c r="B2321" s="2">
        <v>12</v>
      </c>
      <c r="D2321" s="2" t="s">
        <v>2102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hidden="1" x14ac:dyDescent="0.2">
      <c r="A2322" s="2">
        <v>2025</v>
      </c>
      <c r="B2322" s="2">
        <v>12</v>
      </c>
      <c r="D2322" s="2" t="s">
        <v>2102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3388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hidden="1" x14ac:dyDescent="0.2">
      <c r="A2323" s="2">
        <v>2025</v>
      </c>
      <c r="B2323" s="2">
        <v>12</v>
      </c>
      <c r="D2323" s="2" t="s">
        <v>1479</v>
      </c>
      <c r="E2323" s="2" t="s">
        <v>753</v>
      </c>
      <c r="F2323" s="2" t="s">
        <v>1480</v>
      </c>
      <c r="G2323" s="2">
        <v>506123758</v>
      </c>
      <c r="H2323" s="2" t="s">
        <v>110</v>
      </c>
      <c r="I2323" s="2" t="s">
        <v>1481</v>
      </c>
      <c r="J2323" s="2" t="s">
        <v>1482</v>
      </c>
      <c r="K2323" s="2">
        <v>936406952</v>
      </c>
      <c r="L2323" s="2" t="s">
        <v>462</v>
      </c>
      <c r="M2323" s="2" t="s">
        <v>40</v>
      </c>
      <c r="O2323" s="2" t="s">
        <v>2103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hidden="1" x14ac:dyDescent="0.2">
      <c r="A2324" s="2">
        <v>2025</v>
      </c>
      <c r="B2324" s="2">
        <v>12</v>
      </c>
      <c r="D2324" s="2" t="s">
        <v>1479</v>
      </c>
      <c r="E2324" s="2" t="s">
        <v>753</v>
      </c>
      <c r="F2324" s="2" t="s">
        <v>1480</v>
      </c>
      <c r="G2324" s="2">
        <v>506123758</v>
      </c>
      <c r="H2324" s="2" t="s">
        <v>110</v>
      </c>
      <c r="I2324" s="2" t="s">
        <v>1481</v>
      </c>
      <c r="J2324" s="2" t="s">
        <v>1482</v>
      </c>
      <c r="K2324" s="2">
        <v>936406952</v>
      </c>
      <c r="L2324" s="2" t="s">
        <v>462</v>
      </c>
      <c r="M2324" s="2" t="s">
        <v>40</v>
      </c>
      <c r="O2324" s="2" t="s">
        <v>2103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hidden="1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hidden="1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2104</v>
      </c>
      <c r="P2326" s="2" t="s">
        <v>115</v>
      </c>
      <c r="Q2326" s="2" t="s">
        <v>2105</v>
      </c>
      <c r="R2326" s="2" t="s">
        <v>2106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2104</v>
      </c>
      <c r="P2327" s="2" t="s">
        <v>115</v>
      </c>
      <c r="Q2327" s="2" t="s">
        <v>1427</v>
      </c>
      <c r="R2327" s="2" t="s">
        <v>1428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66"/>
        <v>0.53835775587452683</v>
      </c>
      <c r="Z2327" s="2" t="s">
        <v>118</v>
      </c>
      <c r="AA2327" s="2" t="s">
        <v>119</v>
      </c>
      <c r="AF2327" s="2">
        <f t="shared" si="263"/>
        <v>0</v>
      </c>
      <c r="AJ2327" s="2">
        <f t="shared" si="264"/>
        <v>0</v>
      </c>
      <c r="AK2327" s="2">
        <f t="shared" si="265"/>
        <v>1005.55</v>
      </c>
      <c r="AL2327" s="5">
        <f t="shared" si="262"/>
        <v>0.53835775587452683</v>
      </c>
    </row>
    <row r="2328" spans="1:38" hidden="1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2107</v>
      </c>
      <c r="P2328" s="2" t="s">
        <v>115</v>
      </c>
      <c r="Q2328" s="2" t="s">
        <v>1891</v>
      </c>
      <c r="R2328" s="2" t="s">
        <v>1892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66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263"/>
        <v>0</v>
      </c>
      <c r="AJ2328" s="2">
        <f t="shared" si="264"/>
        <v>0</v>
      </c>
      <c r="AK2328" s="2">
        <f t="shared" si="265"/>
        <v>1389.62</v>
      </c>
      <c r="AL2328" s="5">
        <f t="shared" si="262"/>
        <v>0.29566382978723404</v>
      </c>
    </row>
    <row r="2329" spans="1:38" hidden="1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2108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3233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hidden="1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2108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3233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hidden="1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2108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3233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hidden="1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2108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3233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hidden="1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2104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hidden="1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2104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hidden="1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2107</v>
      </c>
      <c r="P2335" s="2" t="s">
        <v>188</v>
      </c>
      <c r="Q2335" s="2" t="s">
        <v>1311</v>
      </c>
      <c r="R2335" s="2" t="s">
        <v>1312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1313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>
        <v>-1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2109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3233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2109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3233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2109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3233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2110</v>
      </c>
      <c r="P2339" s="2" t="s">
        <v>115</v>
      </c>
      <c r="Q2339" s="2" t="s">
        <v>1519</v>
      </c>
      <c r="R2339" s="2" t="s">
        <v>1520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2110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2110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hidden="1" x14ac:dyDescent="0.2">
      <c r="A2342" s="2">
        <v>2025</v>
      </c>
      <c r="B2342" s="2">
        <v>12</v>
      </c>
      <c r="D2342" s="2" t="s">
        <v>2111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2111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hidden="1" x14ac:dyDescent="0.2">
      <c r="A2344" s="2">
        <v>2025</v>
      </c>
      <c r="B2344" s="2">
        <v>12</v>
      </c>
      <c r="D2344" s="2" t="s">
        <v>2111</v>
      </c>
      <c r="P2344" s="2" t="s">
        <v>188</v>
      </c>
      <c r="Q2344" s="2" t="s">
        <v>1311</v>
      </c>
      <c r="R2344" s="2" t="s">
        <v>1312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1313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hidden="1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2112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3233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hidden="1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3233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2113</v>
      </c>
      <c r="P2349" s="2" t="s">
        <v>43</v>
      </c>
      <c r="Q2349" s="2" t="s">
        <v>2114</v>
      </c>
      <c r="R2349" s="2" t="s">
        <v>2115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3233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2116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3388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hidden="1" x14ac:dyDescent="0.2">
      <c r="A2351" s="2">
        <v>2025</v>
      </c>
      <c r="B2351" s="2">
        <v>12</v>
      </c>
      <c r="D2351" s="2" t="s">
        <v>2117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3388</v>
      </c>
      <c r="AF2351" s="2">
        <f t="shared" si="263"/>
        <v>0</v>
      </c>
      <c r="AJ2351" s="2">
        <f t="shared" si="264"/>
        <v>0</v>
      </c>
    </row>
    <row r="2352" spans="1:38" hidden="1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2118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hidden="1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2118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hidden="1" x14ac:dyDescent="0.2">
      <c r="A2354" s="2">
        <v>2025</v>
      </c>
      <c r="B2354" s="2">
        <v>12</v>
      </c>
      <c r="D2354" s="2" t="s">
        <v>2119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hidden="1" x14ac:dyDescent="0.2">
      <c r="A2355" s="2">
        <v>2025</v>
      </c>
      <c r="B2355" s="2">
        <v>12</v>
      </c>
      <c r="D2355" s="2" t="s">
        <v>2119</v>
      </c>
      <c r="P2355" s="2" t="s">
        <v>115</v>
      </c>
      <c r="Q2355" s="2" t="s">
        <v>2120</v>
      </c>
      <c r="R2355" s="2" t="s">
        <v>2121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2119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hidden="1" x14ac:dyDescent="0.2">
      <c r="A2357" s="2">
        <v>2025</v>
      </c>
      <c r="B2357" s="2">
        <v>12</v>
      </c>
      <c r="D2357" s="2" t="s">
        <v>2122</v>
      </c>
      <c r="Q2357" s="2" t="s">
        <v>2123</v>
      </c>
      <c r="R2357" s="2" t="s">
        <v>2124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hidden="1" x14ac:dyDescent="0.2">
      <c r="A2358" s="2">
        <v>2025</v>
      </c>
      <c r="B2358" s="2">
        <v>12</v>
      </c>
      <c r="D2358" s="2" t="s">
        <v>2122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3388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2125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3233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2126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3233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hidden="1" x14ac:dyDescent="0.2">
      <c r="A2363" s="2">
        <v>2025</v>
      </c>
      <c r="B2363" s="2">
        <v>12</v>
      </c>
      <c r="D2363" s="2" t="s">
        <v>2127</v>
      </c>
      <c r="P2363" s="2" t="s">
        <v>283</v>
      </c>
      <c r="Q2363" s="2" t="s">
        <v>1552</v>
      </c>
      <c r="R2363" s="2" t="s">
        <v>1553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2128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2129</v>
      </c>
      <c r="P2365" s="2" t="s">
        <v>283</v>
      </c>
      <c r="Q2365" s="2" t="s">
        <v>2130</v>
      </c>
      <c r="R2365" s="2" t="s">
        <v>2131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3233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hidden="1" x14ac:dyDescent="0.2">
      <c r="A2366" s="2">
        <v>2025</v>
      </c>
      <c r="B2366" s="2">
        <v>12</v>
      </c>
      <c r="D2366" s="2" t="s">
        <v>2129</v>
      </c>
      <c r="P2366" s="2" t="s">
        <v>283</v>
      </c>
      <c r="Q2366" s="2" t="s">
        <v>1708</v>
      </c>
      <c r="R2366" s="2" t="s">
        <v>1709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3233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hidden="1" x14ac:dyDescent="0.2">
      <c r="A2367" s="2">
        <v>2025</v>
      </c>
      <c r="B2367" s="2">
        <v>12</v>
      </c>
      <c r="D2367" s="2" t="s">
        <v>2132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1579</v>
      </c>
      <c r="AB2367" s="2" t="s">
        <v>389</v>
      </c>
      <c r="AC2367" s="2" t="s">
        <v>1330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2132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8:X2399" si="269">(T2369-W2369)/T2369</f>
        <v>0.5243888888888889</v>
      </c>
      <c r="Z2369" s="2" t="s">
        <v>3233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3233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3233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3233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3233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3233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3233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3233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1977</v>
      </c>
      <c r="R2377" s="2" t="s">
        <v>1978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3233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1357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1357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hidden="1" x14ac:dyDescent="0.2">
      <c r="A2380" s="2">
        <v>2025</v>
      </c>
      <c r="B2380" s="2">
        <v>12</v>
      </c>
      <c r="D2380" s="2" t="s">
        <v>1358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1359</v>
      </c>
      <c r="L2380" s="2" t="s">
        <v>419</v>
      </c>
      <c r="P2380" s="2" t="s">
        <v>283</v>
      </c>
      <c r="Q2380" s="2" t="s">
        <v>1667</v>
      </c>
      <c r="R2380" s="2" t="s">
        <v>1668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2647</v>
      </c>
      <c r="AC2380" s="2" t="s">
        <v>1330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1358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1359</v>
      </c>
      <c r="L2381" s="2" t="s">
        <v>419</v>
      </c>
      <c r="P2381" s="2" t="s">
        <v>283</v>
      </c>
      <c r="Q2381" s="2" t="s">
        <v>1669</v>
      </c>
      <c r="R2381" s="2" t="s">
        <v>1670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2647</v>
      </c>
      <c r="AC2381" s="2" t="s">
        <v>1330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hidden="1" x14ac:dyDescent="0.2">
      <c r="A2382" s="2">
        <v>2025</v>
      </c>
      <c r="B2382" s="2">
        <v>12</v>
      </c>
      <c r="D2382" s="2" t="s">
        <v>1358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1359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3233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1358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1359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3233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1358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1359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3233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hidden="1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3388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hidden="1" x14ac:dyDescent="0.2">
      <c r="A2386" s="2">
        <v>2025</v>
      </c>
      <c r="B2386" s="2">
        <v>12</v>
      </c>
      <c r="D2386" s="2" t="s">
        <v>2133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hidden="1" x14ac:dyDescent="0.2">
      <c r="A2387" s="2">
        <v>2025</v>
      </c>
      <c r="B2387" s="2">
        <v>12</v>
      </c>
      <c r="D2387" s="2" t="s">
        <v>2133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hidden="1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hidden="1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hidden="1" x14ac:dyDescent="0.2">
      <c r="A2390" s="2">
        <v>2025</v>
      </c>
      <c r="B2390" s="2">
        <v>12</v>
      </c>
      <c r="D2390" s="2" t="s">
        <v>1699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hidden="1" x14ac:dyDescent="0.2">
      <c r="A2391" s="2">
        <v>2025</v>
      </c>
      <c r="B2391" s="2">
        <v>12</v>
      </c>
      <c r="D2391" s="2" t="s">
        <v>1699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hidden="1" x14ac:dyDescent="0.2">
      <c r="A2392" s="2">
        <v>2025</v>
      </c>
      <c r="B2392" s="2">
        <v>12</v>
      </c>
      <c r="D2392" s="2" t="s">
        <v>1699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3388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3126</v>
      </c>
      <c r="K2393" s="2">
        <v>917575485</v>
      </c>
      <c r="L2393" s="2" t="s">
        <v>462</v>
      </c>
      <c r="M2393" s="2" t="s">
        <v>40</v>
      </c>
      <c r="O2393" s="2" t="s">
        <v>3127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3126</v>
      </c>
      <c r="K2394" s="2">
        <v>917575485</v>
      </c>
      <c r="L2394" s="2" t="s">
        <v>462</v>
      </c>
      <c r="M2394" s="2" t="s">
        <v>40</v>
      </c>
      <c r="O2394" s="2" t="s">
        <v>3127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2134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3233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2134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3233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2135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hidden="1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2136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3233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2136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3233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2136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3233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2136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3233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2136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3233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2137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2137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hidden="1" x14ac:dyDescent="0.2">
      <c r="A2405" s="2">
        <v>2025</v>
      </c>
      <c r="B2405" s="2">
        <v>12</v>
      </c>
      <c r="D2405" s="2" t="s">
        <v>2138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2138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hidden="1" x14ac:dyDescent="0.2">
      <c r="A2407" s="2">
        <v>2025</v>
      </c>
      <c r="B2407" s="2">
        <v>12</v>
      </c>
      <c r="D2407" s="2" t="s">
        <v>2138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hidden="1" x14ac:dyDescent="0.2">
      <c r="A2408" s="2">
        <v>2025</v>
      </c>
      <c r="B2408" s="2">
        <v>12</v>
      </c>
      <c r="C2408" s="2" t="s">
        <v>3451</v>
      </c>
      <c r="D2408" s="2" t="s">
        <v>1893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273"/>
        <v>0.58248333333333335</v>
      </c>
      <c r="Z2408" s="2" t="s">
        <v>3233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3.4948999999999999</v>
      </c>
      <c r="AL2408" s="5">
        <f t="shared" si="268"/>
        <v>0.58248333333333335</v>
      </c>
    </row>
    <row r="2409" spans="1:38" hidden="1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2139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hidden="1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2139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hidden="1" x14ac:dyDescent="0.2">
      <c r="A2411" s="2">
        <v>2025</v>
      </c>
      <c r="B2411" s="2">
        <v>12</v>
      </c>
      <c r="D2411" s="2" t="s">
        <v>2014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2014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3233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2014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2140</v>
      </c>
      <c r="R2413" s="2" t="s">
        <v>2141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3233</v>
      </c>
      <c r="AA2413" s="2" t="s">
        <v>76</v>
      </c>
      <c r="AB2413" s="2" t="s">
        <v>77</v>
      </c>
      <c r="AC2413" s="2" t="s">
        <v>1040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2014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hidden="1" x14ac:dyDescent="0.2">
      <c r="A2415" s="2">
        <v>2025</v>
      </c>
      <c r="B2415" s="2">
        <v>12</v>
      </c>
      <c r="D2415" s="2" t="s">
        <v>2014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3233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hidden="1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3233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hidden="1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hidden="1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3233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3388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2482</v>
      </c>
      <c r="J2421" s="2" t="s">
        <v>3129</v>
      </c>
      <c r="K2421" s="2">
        <v>965864665</v>
      </c>
      <c r="L2421" s="2" t="s">
        <v>345</v>
      </c>
      <c r="M2421" s="2" t="s">
        <v>40</v>
      </c>
      <c r="O2421" s="2" t="s">
        <v>3134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hidden="1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3233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hidden="1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3233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3233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3233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3233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2142</v>
      </c>
      <c r="P2429" s="2" t="s">
        <v>115</v>
      </c>
      <c r="Q2429" s="2" t="s">
        <v>2143</v>
      </c>
      <c r="R2429" s="2" t="s">
        <v>2144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Z2429" s="2" t="s">
        <v>118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hidden="1" x14ac:dyDescent="0.2">
      <c r="A2430" s="2">
        <v>2025</v>
      </c>
      <c r="B2430" s="2">
        <v>12</v>
      </c>
      <c r="D2430" s="2" t="s">
        <v>1379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3233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1379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3233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hidden="1" x14ac:dyDescent="0.2">
      <c r="A2432" s="2">
        <v>2025</v>
      </c>
      <c r="B2432" s="2">
        <v>12</v>
      </c>
      <c r="D2432" s="2" t="s">
        <v>2023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2023</v>
      </c>
      <c r="M2433" s="2" t="s">
        <v>41</v>
      </c>
      <c r="O2433" s="2" t="s">
        <v>2145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3233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2023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3233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2023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3233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2023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hidden="1" x14ac:dyDescent="0.2">
      <c r="A2437" s="2">
        <v>2025</v>
      </c>
      <c r="B2437" s="2">
        <v>12</v>
      </c>
      <c r="D2437" s="2" t="s">
        <v>2023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hidden="1" x14ac:dyDescent="0.2">
      <c r="A2438" s="2">
        <v>2025</v>
      </c>
      <c r="B2438" s="2">
        <v>12</v>
      </c>
      <c r="D2438" s="2" t="s">
        <v>2146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2146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hidden="1" x14ac:dyDescent="0.2">
      <c r="A2440" s="2">
        <v>2025</v>
      </c>
      <c r="B2440" s="2">
        <v>12</v>
      </c>
      <c r="D2440" s="2" t="s">
        <v>2146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hidden="1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2147</v>
      </c>
      <c r="R2441" s="2" t="s">
        <v>2148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3388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hidden="1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3233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2149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3233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2149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3233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hidden="1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2150</v>
      </c>
      <c r="P2450" s="2" t="s">
        <v>283</v>
      </c>
      <c r="Q2450" s="2" t="s">
        <v>1285</v>
      </c>
      <c r="R2450" s="2" t="s">
        <v>1286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1579</v>
      </c>
      <c r="AB2450" s="2" t="s">
        <v>389</v>
      </c>
      <c r="AC2450" s="2" t="s">
        <v>1330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2150</v>
      </c>
      <c r="P2451" s="2" t="s">
        <v>283</v>
      </c>
      <c r="Q2451" s="2" t="s">
        <v>1287</v>
      </c>
      <c r="R2451" s="2" t="s">
        <v>1288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1579</v>
      </c>
      <c r="AB2451" s="2" t="s">
        <v>389</v>
      </c>
      <c r="AC2451" s="2" t="s">
        <v>1330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2150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1579</v>
      </c>
      <c r="AB2452" s="2" t="s">
        <v>389</v>
      </c>
      <c r="AC2452" s="2" t="s">
        <v>1330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2150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1579</v>
      </c>
      <c r="AB2453" s="2" t="s">
        <v>389</v>
      </c>
      <c r="AC2453" s="2" t="s">
        <v>1330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3170</v>
      </c>
      <c r="P2454" s="2" t="s">
        <v>1040</v>
      </c>
      <c r="Q2454" s="2" t="s">
        <v>2151</v>
      </c>
      <c r="R2454" s="2" t="s">
        <v>2152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3233</v>
      </c>
      <c r="AA2454" s="2" t="s">
        <v>76</v>
      </c>
      <c r="AB2454" s="2" t="s">
        <v>77</v>
      </c>
      <c r="AC2454" s="2" t="s">
        <v>1040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hidden="1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3233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hidden="1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hidden="1" x14ac:dyDescent="0.2">
      <c r="A2458" s="2">
        <v>2025</v>
      </c>
      <c r="B2458" s="2">
        <v>12</v>
      </c>
      <c r="D2458" s="2" t="s">
        <v>1259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hidden="1" x14ac:dyDescent="0.2">
      <c r="A2459" s="2">
        <v>2025</v>
      </c>
      <c r="B2459" s="2">
        <v>12</v>
      </c>
      <c r="D2459" s="2" t="s">
        <v>1259</v>
      </c>
      <c r="P2459" s="2" t="s">
        <v>115</v>
      </c>
      <c r="Q2459" s="2" t="s">
        <v>2153</v>
      </c>
      <c r="R2459" s="2" t="s">
        <v>2154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hidden="1" x14ac:dyDescent="0.2">
      <c r="A2460" s="2">
        <v>2025</v>
      </c>
      <c r="B2460" s="2">
        <v>12</v>
      </c>
      <c r="D2460" s="2" t="s">
        <v>1260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2155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hidden="1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2155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hidden="1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2155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hidden="1" x14ac:dyDescent="0.2">
      <c r="A2464" s="2">
        <v>2025</v>
      </c>
      <c r="B2464" s="2">
        <v>12</v>
      </c>
      <c r="C2464" s="2" t="s">
        <v>3333</v>
      </c>
      <c r="D2464" s="2" t="s">
        <v>2156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3333</v>
      </c>
      <c r="D2465" s="2" t="s">
        <v>2156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3333</v>
      </c>
      <c r="D2466" s="2" t="s">
        <v>2156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hidden="1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2157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3233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2157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3233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hidden="1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2157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3233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hidden="1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2157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3233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2157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3233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2157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3233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hidden="1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2157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3233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2158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2158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hidden="1" x14ac:dyDescent="0.2">
      <c r="A2476" s="2">
        <v>2025</v>
      </c>
      <c r="B2476" s="2">
        <v>12</v>
      </c>
      <c r="D2476" s="2" t="s">
        <v>2158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hidden="1" x14ac:dyDescent="0.2">
      <c r="A2477" s="2">
        <v>2025</v>
      </c>
      <c r="B2477" s="2">
        <v>12</v>
      </c>
      <c r="D2477" s="2" t="s">
        <v>1067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3233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3233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3233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3233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2159</v>
      </c>
      <c r="P2481" s="2" t="s">
        <v>115</v>
      </c>
      <c r="Q2481" s="2" t="s">
        <v>2160</v>
      </c>
      <c r="R2481" s="2" t="s">
        <v>2161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Z2481" s="2" t="s">
        <v>118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hidden="1" x14ac:dyDescent="0.2">
      <c r="A2482" s="2">
        <v>2025</v>
      </c>
      <c r="B2482" s="2">
        <v>12</v>
      </c>
      <c r="D2482" s="2" t="s">
        <v>2159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Z2482" s="2" t="s">
        <v>118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hidden="1" x14ac:dyDescent="0.2">
      <c r="A2483" s="2">
        <v>2025</v>
      </c>
      <c r="B2483" s="2">
        <v>12</v>
      </c>
      <c r="D2483" s="2" t="s">
        <v>1595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1595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hidden="1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3233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1348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3233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hidden="1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3233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hidden="1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2162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hidden="1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2162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2162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hidden="1" x14ac:dyDescent="0.2">
      <c r="A2493" s="2">
        <v>2025</v>
      </c>
      <c r="B2493" s="2">
        <v>12</v>
      </c>
      <c r="D2493" s="2" t="s">
        <v>1421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2417</v>
      </c>
      <c r="J2493" s="2" t="s">
        <v>2418</v>
      </c>
      <c r="L2493" s="2" t="s">
        <v>202</v>
      </c>
      <c r="M2493" s="2" t="s">
        <v>81</v>
      </c>
      <c r="P2493" s="2" t="s">
        <v>1040</v>
      </c>
      <c r="Q2493" s="2" t="s">
        <v>1924</v>
      </c>
      <c r="R2493" s="2" t="s">
        <v>1925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3233</v>
      </c>
      <c r="AA2493" s="2" t="s">
        <v>1043</v>
      </c>
      <c r="AB2493" s="2" t="s">
        <v>1321</v>
      </c>
      <c r="AC2493" s="2" t="s">
        <v>1040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1421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2417</v>
      </c>
      <c r="J2494" s="2" t="s">
        <v>2418</v>
      </c>
      <c r="L2494" s="2" t="s">
        <v>202</v>
      </c>
      <c r="M2494" s="2" t="s">
        <v>81</v>
      </c>
      <c r="P2494" s="2" t="s">
        <v>1040</v>
      </c>
      <c r="Q2494" s="2" t="s">
        <v>2163</v>
      </c>
      <c r="R2494" s="2" t="s">
        <v>2164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3233</v>
      </c>
      <c r="AA2494" s="2" t="s">
        <v>1043</v>
      </c>
      <c r="AB2494" s="2" t="s">
        <v>1321</v>
      </c>
      <c r="AC2494" s="2" t="s">
        <v>1040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1571</v>
      </c>
      <c r="R2496" s="2" t="s">
        <v>1572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hidden="1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2165</v>
      </c>
      <c r="R2497" s="2" t="s">
        <v>2166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hidden="1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hidden="1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2167</v>
      </c>
      <c r="R2499" s="2" t="s">
        <v>2168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3233</v>
      </c>
      <c r="AA2499" s="2" t="s">
        <v>1043</v>
      </c>
      <c r="AB2499" s="2" t="s">
        <v>1321</v>
      </c>
      <c r="AC2499" s="2" t="s">
        <v>1040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1928</v>
      </c>
      <c r="R2500" s="2" t="s">
        <v>1929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3233</v>
      </c>
      <c r="AA2500" s="2" t="s">
        <v>1043</v>
      </c>
      <c r="AB2500" s="2" t="s">
        <v>1273</v>
      </c>
      <c r="AC2500" s="2" t="s">
        <v>1040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2169</v>
      </c>
      <c r="R2501" s="2" t="s">
        <v>2170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3233</v>
      </c>
      <c r="AA2501" s="2" t="s">
        <v>1043</v>
      </c>
      <c r="AB2501" s="2" t="s">
        <v>1273</v>
      </c>
      <c r="AC2501" s="2" t="s">
        <v>1040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1932</v>
      </c>
      <c r="R2502" s="2" t="s">
        <v>1933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3233</v>
      </c>
      <c r="AA2502" s="2" t="s">
        <v>1043</v>
      </c>
      <c r="AB2502" s="2" t="s">
        <v>1321</v>
      </c>
      <c r="AC2502" s="2" t="s">
        <v>1040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3394</v>
      </c>
      <c r="Q2503" s="2" t="s">
        <v>2171</v>
      </c>
      <c r="R2503" s="2" t="s">
        <v>2172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3233</v>
      </c>
      <c r="AA2503" s="2" t="s">
        <v>2173</v>
      </c>
      <c r="AB2503" s="2" t="s">
        <v>2174</v>
      </c>
      <c r="AC2503" s="2" t="s">
        <v>3394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hidden="1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3404</v>
      </c>
      <c r="Q2504" s="2" t="s">
        <v>2175</v>
      </c>
      <c r="R2504" s="2" t="s">
        <v>2176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3233</v>
      </c>
      <c r="AA2504" s="2" t="s">
        <v>2173</v>
      </c>
      <c r="AB2504" s="2" t="s">
        <v>2037</v>
      </c>
      <c r="AC2504" s="2" t="s">
        <v>3404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3404</v>
      </c>
      <c r="Q2505" s="2" t="s">
        <v>2177</v>
      </c>
      <c r="R2505" s="2" t="s">
        <v>2178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3233</v>
      </c>
      <c r="AA2505" s="2" t="s">
        <v>2173</v>
      </c>
      <c r="AB2505" s="2" t="s">
        <v>2037</v>
      </c>
      <c r="AC2505" s="2" t="s">
        <v>3404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hidden="1" x14ac:dyDescent="0.2">
      <c r="A2507" s="2">
        <v>2025</v>
      </c>
      <c r="B2507" s="2">
        <v>12</v>
      </c>
      <c r="D2507" s="2" t="s">
        <v>2179</v>
      </c>
      <c r="P2507" s="2" t="s">
        <v>115</v>
      </c>
      <c r="Q2507" s="2" t="s">
        <v>2180</v>
      </c>
      <c r="R2507" s="2" t="s">
        <v>2181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Z2507" s="2" t="s">
        <v>118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hidden="1" x14ac:dyDescent="0.2">
      <c r="A2508" s="2">
        <v>2025</v>
      </c>
      <c r="B2508" s="2">
        <v>12</v>
      </c>
      <c r="D2508" s="2" t="s">
        <v>2179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hidden="1" x14ac:dyDescent="0.2">
      <c r="A2509" s="2">
        <v>2025</v>
      </c>
      <c r="B2509" s="2">
        <v>12</v>
      </c>
      <c r="D2509" s="2" t="s">
        <v>2179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hidden="1" x14ac:dyDescent="0.2">
      <c r="A2510" s="2">
        <v>2025</v>
      </c>
      <c r="B2510" s="2">
        <v>12</v>
      </c>
      <c r="D2510" s="2" t="s">
        <v>2179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3388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hidden="1" x14ac:dyDescent="0.2">
      <c r="A2511" s="2">
        <v>2025</v>
      </c>
      <c r="B2511" s="2">
        <v>12</v>
      </c>
      <c r="D2511" s="2" t="s">
        <v>1627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1628</v>
      </c>
      <c r="J2511" s="2" t="s">
        <v>1629</v>
      </c>
      <c r="L2511" s="2" t="s">
        <v>294</v>
      </c>
      <c r="M2511" s="2" t="s">
        <v>1174</v>
      </c>
      <c r="O2511" s="2" t="s">
        <v>2182</v>
      </c>
      <c r="P2511" s="2" t="s">
        <v>115</v>
      </c>
      <c r="Q2511" s="2" t="s">
        <v>2183</v>
      </c>
      <c r="R2511" s="2" t="s">
        <v>2184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1948</v>
      </c>
      <c r="P2512" s="2" t="s">
        <v>115</v>
      </c>
      <c r="Q2512" s="2" t="s">
        <v>1388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Z2512" s="2" t="s">
        <v>118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hidden="1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1910</v>
      </c>
      <c r="R2513" s="2" t="s">
        <v>1911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3233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3233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hidden="1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3233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hidden="1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3233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3233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2185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hidden="1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2185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hidden="1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2186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3233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2186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3233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2186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3233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hidden="1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2186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3233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2186</v>
      </c>
      <c r="P2525" s="2" t="s">
        <v>167</v>
      </c>
      <c r="Q2525" s="2" t="s">
        <v>2187</v>
      </c>
      <c r="R2525" s="2" t="s">
        <v>2188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3233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2186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3233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hidden="1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2186</v>
      </c>
      <c r="P2527" s="2" t="s">
        <v>85</v>
      </c>
      <c r="Q2527" s="2" t="s">
        <v>1977</v>
      </c>
      <c r="R2527" s="2" t="s">
        <v>1978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3233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hidden="1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3233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hidden="1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3233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3233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hidden="1" x14ac:dyDescent="0.2">
      <c r="A2532" s="2">
        <v>2025</v>
      </c>
      <c r="B2532" s="2">
        <v>12</v>
      </c>
      <c r="D2532" s="2" t="s">
        <v>2078</v>
      </c>
      <c r="P2532" s="2" t="s">
        <v>283</v>
      </c>
      <c r="Q2532" s="2" t="s">
        <v>1535</v>
      </c>
      <c r="R2532" s="2" t="s">
        <v>1536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3233</v>
      </c>
      <c r="AA2532" s="2" t="s">
        <v>156</v>
      </c>
      <c r="AB2532" s="2" t="s">
        <v>3411</v>
      </c>
      <c r="AC2532" s="2" t="s">
        <v>1330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2078</v>
      </c>
      <c r="P2533" s="2" t="s">
        <v>283</v>
      </c>
      <c r="Q2533" s="2" t="s">
        <v>2189</v>
      </c>
      <c r="R2533" s="2" t="s">
        <v>2190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291"/>
        <v>0.30000000000000004</v>
      </c>
      <c r="Z2533" s="2" t="s">
        <v>3233</v>
      </c>
      <c r="AA2533" s="2" t="s">
        <v>156</v>
      </c>
      <c r="AB2533" s="2" t="s">
        <v>3411</v>
      </c>
      <c r="AC2533" s="2" t="s">
        <v>1330</v>
      </c>
      <c r="AF2533" s="2">
        <f t="shared" si="282"/>
        <v>0</v>
      </c>
      <c r="AJ2533" s="2">
        <f t="shared" si="283"/>
        <v>0</v>
      </c>
      <c r="AK2533" s="2">
        <f t="shared" si="284"/>
        <v>9.6000000000000014</v>
      </c>
      <c r="AL2533" s="5">
        <f t="shared" si="290"/>
        <v>0.30000000000000004</v>
      </c>
    </row>
    <row r="2534" spans="1:38" hidden="1" x14ac:dyDescent="0.2">
      <c r="A2534" s="2">
        <v>2025</v>
      </c>
      <c r="B2534" s="2">
        <v>12</v>
      </c>
      <c r="D2534" s="2" t="s">
        <v>1298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1299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3233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1298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1299</v>
      </c>
      <c r="L2535" s="2" t="s">
        <v>340</v>
      </c>
      <c r="P2535" s="2" t="s">
        <v>1040</v>
      </c>
      <c r="Q2535" s="2" t="s">
        <v>1959</v>
      </c>
      <c r="R2535" s="2" t="s">
        <v>1960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3233</v>
      </c>
      <c r="AA2535" s="2" t="s">
        <v>76</v>
      </c>
      <c r="AB2535" s="2" t="s">
        <v>77</v>
      </c>
      <c r="AC2535" s="2" t="s">
        <v>1040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1298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1299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1298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1299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3233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hidden="1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P2538" s="2" t="s">
        <v>43</v>
      </c>
      <c r="Q2538" s="2" t="s">
        <v>1366</v>
      </c>
      <c r="R2538" s="2" t="s">
        <v>1367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3233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hidden="1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3233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3233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3233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1885</v>
      </c>
      <c r="R2542" s="2" t="s">
        <v>1886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hidden="1" x14ac:dyDescent="0.2">
      <c r="A2543" s="2">
        <v>2025</v>
      </c>
      <c r="B2543" s="2">
        <v>12</v>
      </c>
      <c r="D2543" s="2" t="s">
        <v>1656</v>
      </c>
      <c r="E2543" s="2" t="s">
        <v>38</v>
      </c>
      <c r="F2543" s="2" t="s">
        <v>39</v>
      </c>
      <c r="H2543" s="2" t="s">
        <v>41</v>
      </c>
      <c r="I2543" s="2" t="s">
        <v>1657</v>
      </c>
      <c r="J2543" s="2" t="s">
        <v>1658</v>
      </c>
      <c r="L2543" s="2" t="s">
        <v>113</v>
      </c>
      <c r="M2543" s="2" t="s">
        <v>40</v>
      </c>
      <c r="O2543" s="2" t="s">
        <v>2191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1656</v>
      </c>
      <c r="E2544" s="2" t="s">
        <v>38</v>
      </c>
      <c r="F2544" s="2" t="s">
        <v>39</v>
      </c>
      <c r="H2544" s="2" t="s">
        <v>41</v>
      </c>
      <c r="I2544" s="2" t="s">
        <v>1657</v>
      </c>
      <c r="J2544" s="2" t="s">
        <v>1658</v>
      </c>
      <c r="L2544" s="2" t="s">
        <v>113</v>
      </c>
      <c r="M2544" s="2" t="s">
        <v>40</v>
      </c>
      <c r="O2544" s="2" t="s">
        <v>2191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hidden="1" x14ac:dyDescent="0.2">
      <c r="A2545" s="2">
        <v>2025</v>
      </c>
      <c r="B2545" s="2">
        <v>12</v>
      </c>
      <c r="D2545" s="2" t="s">
        <v>1656</v>
      </c>
      <c r="E2545" s="2" t="s">
        <v>38</v>
      </c>
      <c r="F2545" s="2" t="s">
        <v>39</v>
      </c>
      <c r="H2545" s="2" t="s">
        <v>41</v>
      </c>
      <c r="I2545" s="2" t="s">
        <v>1657</v>
      </c>
      <c r="J2545" s="2" t="s">
        <v>1658</v>
      </c>
      <c r="L2545" s="2" t="s">
        <v>113</v>
      </c>
      <c r="M2545" s="2" t="s">
        <v>40</v>
      </c>
      <c r="O2545" s="2" t="s">
        <v>2191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hidden="1" x14ac:dyDescent="0.2">
      <c r="A2546" s="2">
        <v>2025</v>
      </c>
      <c r="B2546" s="2">
        <v>12</v>
      </c>
      <c r="D2546" s="2" t="s">
        <v>2192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hidden="1" x14ac:dyDescent="0.2">
      <c r="A2547" s="2">
        <v>2025</v>
      </c>
      <c r="B2547" s="2">
        <v>12</v>
      </c>
      <c r="D2547" s="2" t="s">
        <v>2192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hidden="1" x14ac:dyDescent="0.2">
      <c r="A2548" s="2">
        <v>2025</v>
      </c>
      <c r="B2548" s="2">
        <v>12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2193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3388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hidden="1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1439</v>
      </c>
      <c r="R2549" s="2" t="s">
        <v>1440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3233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2194</v>
      </c>
      <c r="P2550" s="2" t="s">
        <v>115</v>
      </c>
      <c r="Q2550" s="2" t="s">
        <v>2195</v>
      </c>
      <c r="R2550" s="2" t="s">
        <v>2196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hidden="1" x14ac:dyDescent="0.2">
      <c r="A2551" s="2">
        <v>2025</v>
      </c>
      <c r="B2551" s="2">
        <v>12</v>
      </c>
      <c r="D2551" s="2" t="s">
        <v>2194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hidden="1" x14ac:dyDescent="0.2">
      <c r="A2552" s="2">
        <v>2025</v>
      </c>
      <c r="B2552" s="2">
        <v>12</v>
      </c>
      <c r="D2552" s="2" t="s">
        <v>2194</v>
      </c>
      <c r="P2552" s="2" t="s">
        <v>3237</v>
      </c>
      <c r="Q2552" s="2" t="s">
        <v>1888</v>
      </c>
      <c r="R2552" s="2" t="s">
        <v>1889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3237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2197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3233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2197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hidden="1" x14ac:dyDescent="0.2">
      <c r="A2555" s="2">
        <v>2025</v>
      </c>
      <c r="B2555" s="2">
        <v>12</v>
      </c>
      <c r="D2555" s="2" t="s">
        <v>1315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1316</v>
      </c>
      <c r="L2555" s="2" t="s">
        <v>178</v>
      </c>
      <c r="M2555" s="2" t="s">
        <v>40</v>
      </c>
      <c r="O2555" s="2" t="s">
        <v>2198</v>
      </c>
      <c r="P2555" s="2" t="s">
        <v>115</v>
      </c>
      <c r="Q2555" s="2" t="s">
        <v>2199</v>
      </c>
      <c r="R2555" s="2" t="s">
        <v>2200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1315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1316</v>
      </c>
      <c r="L2556" s="2" t="s">
        <v>178</v>
      </c>
      <c r="M2556" s="2" t="s">
        <v>41</v>
      </c>
      <c r="O2556" s="2" t="s">
        <v>2198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3233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1315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1316</v>
      </c>
      <c r="L2557" s="2" t="s">
        <v>178</v>
      </c>
      <c r="M2557" s="2" t="s">
        <v>41</v>
      </c>
      <c r="O2557" s="2" t="s">
        <v>2201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3233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hidden="1" x14ac:dyDescent="0.2">
      <c r="A2558" s="2">
        <v>2025</v>
      </c>
      <c r="B2558" s="2">
        <v>12</v>
      </c>
      <c r="D2558" s="2" t="s">
        <v>1315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1316</v>
      </c>
      <c r="L2558" s="2" t="s">
        <v>178</v>
      </c>
      <c r="M2558" s="2" t="s">
        <v>41</v>
      </c>
      <c r="O2558" s="2" t="s">
        <v>2201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3233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1315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1316</v>
      </c>
      <c r="L2559" s="2" t="s">
        <v>178</v>
      </c>
      <c r="M2559" s="2" t="s">
        <v>41</v>
      </c>
      <c r="O2559" s="2" t="s">
        <v>2201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3233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1315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1316</v>
      </c>
      <c r="L2560" s="2" t="s">
        <v>178</v>
      </c>
      <c r="M2560" s="2" t="s">
        <v>41</v>
      </c>
      <c r="O2560" s="2" t="s">
        <v>2201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3233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hidden="1" x14ac:dyDescent="0.2">
      <c r="A2561" s="2">
        <v>2025</v>
      </c>
      <c r="B2561" s="2">
        <v>12</v>
      </c>
      <c r="D2561" s="2" t="s">
        <v>1315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1316</v>
      </c>
      <c r="L2561" s="2" t="s">
        <v>178</v>
      </c>
      <c r="M2561" s="2" t="s">
        <v>41</v>
      </c>
      <c r="O2561" s="2" t="s">
        <v>2198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3233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2202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2202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hidden="1" x14ac:dyDescent="0.2">
      <c r="A2564" s="2">
        <v>2025</v>
      </c>
      <c r="B2564" s="2">
        <v>12</v>
      </c>
      <c r="D2564" s="2" t="s">
        <v>2202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hidden="1" x14ac:dyDescent="0.2">
      <c r="A2565" s="2">
        <v>2025</v>
      </c>
      <c r="B2565" s="2">
        <v>12</v>
      </c>
      <c r="D2565" s="2" t="s">
        <v>2088</v>
      </c>
      <c r="P2565" s="2" t="s">
        <v>1040</v>
      </c>
      <c r="Q2565" s="2" t="s">
        <v>2203</v>
      </c>
      <c r="R2565" s="2" t="s">
        <v>2204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3233</v>
      </c>
      <c r="AA2565" s="2" t="s">
        <v>76</v>
      </c>
      <c r="AB2565" s="2" t="s">
        <v>77</v>
      </c>
      <c r="AC2565" s="2" t="s">
        <v>1040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2088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hidden="1" x14ac:dyDescent="0.2">
      <c r="A2567" s="2">
        <v>2025</v>
      </c>
      <c r="B2567" s="2">
        <v>12</v>
      </c>
      <c r="D2567" s="2" t="s">
        <v>2088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3233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3233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3233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3233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3233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3233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2205</v>
      </c>
      <c r="L2573" s="2" t="s">
        <v>100</v>
      </c>
      <c r="M2573" s="2" t="s">
        <v>81</v>
      </c>
      <c r="O2573" s="2" t="s">
        <v>2206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3233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3233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3233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hidden="1" x14ac:dyDescent="0.2">
      <c r="A2576" s="2">
        <v>2025</v>
      </c>
      <c r="B2576" s="2">
        <v>9</v>
      </c>
      <c r="D2576" s="2" t="s">
        <v>1864</v>
      </c>
      <c r="E2576" s="2" t="s">
        <v>109</v>
      </c>
      <c r="G2576" s="2">
        <v>515549134</v>
      </c>
      <c r="H2576" s="2" t="s">
        <v>41</v>
      </c>
      <c r="I2576" s="2" t="s">
        <v>1865</v>
      </c>
      <c r="J2576" s="2" t="s">
        <v>1866</v>
      </c>
      <c r="L2576" s="2" t="s">
        <v>178</v>
      </c>
      <c r="M2576" s="2" t="s">
        <v>41</v>
      </c>
      <c r="O2576" s="2" t="s">
        <v>2207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3233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1864</v>
      </c>
      <c r="E2577" s="2" t="s">
        <v>109</v>
      </c>
      <c r="G2577" s="2">
        <v>515549134</v>
      </c>
      <c r="H2577" s="2" t="s">
        <v>41</v>
      </c>
      <c r="I2577" s="2" t="s">
        <v>1865</v>
      </c>
      <c r="J2577" s="2" t="s">
        <v>1866</v>
      </c>
      <c r="L2577" s="2" t="s">
        <v>178</v>
      </c>
      <c r="M2577" s="2" t="s">
        <v>41</v>
      </c>
      <c r="O2577" s="2" t="s">
        <v>2207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3233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1864</v>
      </c>
      <c r="E2578" s="2" t="s">
        <v>109</v>
      </c>
      <c r="G2578" s="2">
        <v>515549134</v>
      </c>
      <c r="H2578" s="2" t="s">
        <v>41</v>
      </c>
      <c r="I2578" s="2" t="s">
        <v>1865</v>
      </c>
      <c r="J2578" s="2" t="s">
        <v>1866</v>
      </c>
      <c r="L2578" s="2" t="s">
        <v>178</v>
      </c>
      <c r="M2578" s="2" t="s">
        <v>41</v>
      </c>
      <c r="O2578" s="2" t="s">
        <v>2207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3233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1864</v>
      </c>
      <c r="E2579" s="2" t="s">
        <v>109</v>
      </c>
      <c r="G2579" s="2">
        <v>515549134</v>
      </c>
      <c r="H2579" s="2" t="s">
        <v>41</v>
      </c>
      <c r="I2579" s="2" t="s">
        <v>1865</v>
      </c>
      <c r="J2579" s="2" t="s">
        <v>1866</v>
      </c>
      <c r="L2579" s="2" t="s">
        <v>178</v>
      </c>
      <c r="M2579" s="2" t="s">
        <v>41</v>
      </c>
      <c r="O2579" s="2" t="s">
        <v>2208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3233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2209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291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875</v>
      </c>
      <c r="AL2580" s="5">
        <f t="shared" si="290"/>
        <v>0.25</v>
      </c>
    </row>
    <row r="2581" spans="1:38" hidden="1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2210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3233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2210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hidden="1" x14ac:dyDescent="0.2">
      <c r="A2583" s="2">
        <v>2025</v>
      </c>
      <c r="B2583" s="2">
        <v>9</v>
      </c>
      <c r="D2583" s="2" t="s">
        <v>2211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hidden="1" x14ac:dyDescent="0.2">
      <c r="A2584" s="2">
        <v>2025</v>
      </c>
      <c r="B2584" s="2">
        <v>9</v>
      </c>
      <c r="D2584" s="2" t="s">
        <v>2211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hidden="1" x14ac:dyDescent="0.2">
      <c r="A2585" s="2">
        <v>2025</v>
      </c>
      <c r="B2585" s="2">
        <v>9</v>
      </c>
      <c r="D2585" s="2" t="s">
        <v>2211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3388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hidden="1" x14ac:dyDescent="0.2">
      <c r="A2586" s="2">
        <v>2025</v>
      </c>
      <c r="B2586" s="2">
        <v>9</v>
      </c>
      <c r="D2586" s="2" t="s">
        <v>2212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3233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2212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3233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hidden="1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2213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2213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2213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3388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hidden="1" x14ac:dyDescent="0.2">
      <c r="A2592" s="2">
        <v>2025</v>
      </c>
      <c r="B2592" s="2">
        <v>9</v>
      </c>
      <c r="D2592" s="2" t="s">
        <v>2214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hidden="1" x14ac:dyDescent="0.2">
      <c r="A2593" s="2">
        <v>2025</v>
      </c>
      <c r="B2593" s="2">
        <v>9</v>
      </c>
      <c r="D2593" s="2" t="s">
        <v>2214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hidden="1" x14ac:dyDescent="0.2">
      <c r="A2594" s="2">
        <v>2025</v>
      </c>
      <c r="B2594" s="2">
        <v>9</v>
      </c>
      <c r="D2594" s="2" t="s">
        <v>2214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3388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hidden="1" x14ac:dyDescent="0.2">
      <c r="A2595" s="2">
        <v>2025</v>
      </c>
      <c r="B2595" s="2">
        <v>9</v>
      </c>
      <c r="D2595" s="2" t="s">
        <v>2215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3233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2215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3233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2216</v>
      </c>
      <c r="P2597" s="2" t="s">
        <v>115</v>
      </c>
      <c r="Q2597" s="2" t="s">
        <v>2217</v>
      </c>
      <c r="R2597" s="2" t="s">
        <v>2218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3233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3233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hidden="1" x14ac:dyDescent="0.2">
      <c r="A2601" s="2">
        <v>2025</v>
      </c>
      <c r="B2601" s="2">
        <v>9</v>
      </c>
      <c r="D2601" s="2" t="s">
        <v>2219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3233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2219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3233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hidden="1" x14ac:dyDescent="0.2">
      <c r="A2603" s="2">
        <v>2025</v>
      </c>
      <c r="B2603" s="2">
        <v>9</v>
      </c>
      <c r="D2603" s="2" t="s">
        <v>1489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3388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hidden="1" x14ac:dyDescent="0.2">
      <c r="A2604" s="2">
        <v>2025</v>
      </c>
      <c r="B2604" s="2">
        <v>9</v>
      </c>
      <c r="D2604" s="2" t="s">
        <v>2220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3233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2220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3233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1492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hidden="1" x14ac:dyDescent="0.2">
      <c r="A2607" s="2">
        <v>2025</v>
      </c>
      <c r="B2607" s="2">
        <v>9</v>
      </c>
      <c r="D2607" s="2" t="s">
        <v>1493</v>
      </c>
      <c r="P2607" s="2" t="s">
        <v>115</v>
      </c>
      <c r="Q2607" s="2" t="s">
        <v>1583</v>
      </c>
      <c r="R2607" s="2" t="s">
        <v>1584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Z2607" s="2" t="s">
        <v>118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hidden="1" x14ac:dyDescent="0.2">
      <c r="A2608" s="2">
        <v>2025</v>
      </c>
      <c r="B2608" s="2">
        <v>9</v>
      </c>
      <c r="D2608" s="2" t="s">
        <v>1493</v>
      </c>
      <c r="P2608" s="2" t="s">
        <v>188</v>
      </c>
      <c r="Q2608" s="2" t="s">
        <v>1311</v>
      </c>
      <c r="R2608" s="2" t="s">
        <v>1312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1313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hidden="1" x14ac:dyDescent="0.2">
      <c r="A2609" s="2">
        <v>2025</v>
      </c>
      <c r="B2609" s="2">
        <v>9</v>
      </c>
      <c r="D2609" s="2" t="s">
        <v>2117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3388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2221</v>
      </c>
      <c r="P2610" s="2" t="s">
        <v>115</v>
      </c>
      <c r="Q2610" s="2" t="s">
        <v>2222</v>
      </c>
      <c r="R2610" s="2" t="s">
        <v>1432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2223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2224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2223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3233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2224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2224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3233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3233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2225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3233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2225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3233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2226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3233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2226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3233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hidden="1" x14ac:dyDescent="0.2">
      <c r="A2622" s="2">
        <v>2025</v>
      </c>
      <c r="B2622" s="2">
        <v>9</v>
      </c>
      <c r="D2622" s="2" t="s">
        <v>1765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hidden="1" x14ac:dyDescent="0.2">
      <c r="A2623" s="2">
        <v>2025</v>
      </c>
      <c r="B2623" s="2">
        <v>9</v>
      </c>
      <c r="D2623" s="2" t="s">
        <v>2227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2228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3233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3233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3233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3233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982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3233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hidden="1" x14ac:dyDescent="0.2">
      <c r="A2630" s="2">
        <v>2025</v>
      </c>
      <c r="B2630" s="2">
        <v>9</v>
      </c>
      <c r="D2630" s="2" t="s">
        <v>982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3233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982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3233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982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3233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2229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3233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2229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3233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hidden="1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2230</v>
      </c>
      <c r="P2635" s="2" t="s">
        <v>115</v>
      </c>
      <c r="Q2635" s="2" t="s">
        <v>2231</v>
      </c>
      <c r="R2635" s="2" t="s">
        <v>2232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2233</v>
      </c>
      <c r="R2636" s="2" t="s">
        <v>2234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hidden="1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hidden="1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hidden="1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hidden="1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3388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hidden="1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3233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3233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2235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3233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2236</v>
      </c>
      <c r="P2644" s="2" t="s">
        <v>115</v>
      </c>
      <c r="Q2644" s="2" t="s">
        <v>1294</v>
      </c>
      <c r="R2644" s="2" t="s">
        <v>1295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hidden="1" x14ac:dyDescent="0.2">
      <c r="A2645" s="2">
        <v>2025</v>
      </c>
      <c r="B2645" s="2">
        <v>9</v>
      </c>
      <c r="D2645" s="2" t="s">
        <v>2237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3388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hidden="1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3233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3233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hidden="1" x14ac:dyDescent="0.2">
      <c r="A2648" s="2">
        <v>2025</v>
      </c>
      <c r="B2648" s="2">
        <v>9</v>
      </c>
      <c r="D2648" s="2" t="s">
        <v>1701</v>
      </c>
      <c r="P2648" s="2" t="s">
        <v>283</v>
      </c>
      <c r="Q2648" s="2" t="s">
        <v>1255</v>
      </c>
      <c r="R2648" s="2" t="s">
        <v>1256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Z2648" s="2" t="s">
        <v>105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hidden="1" x14ac:dyDescent="0.2">
      <c r="A2649" s="2">
        <v>2025</v>
      </c>
      <c r="B2649" s="2">
        <v>9</v>
      </c>
      <c r="D2649" s="2" t="s">
        <v>2137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hidden="1" x14ac:dyDescent="0.2">
      <c r="A2650" s="2">
        <v>2025</v>
      </c>
      <c r="B2650" s="2">
        <v>9</v>
      </c>
      <c r="D2650" s="2" t="s">
        <v>2137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hidden="1" x14ac:dyDescent="0.2">
      <c r="A2651" s="2">
        <v>2025</v>
      </c>
      <c r="B2651" s="2">
        <v>9</v>
      </c>
      <c r="D2651" s="2" t="s">
        <v>1794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hidden="1" x14ac:dyDescent="0.2">
      <c r="A2652" s="2">
        <v>2025</v>
      </c>
      <c r="B2652" s="2">
        <v>9</v>
      </c>
      <c r="D2652" s="2" t="s">
        <v>1794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hidden="1" x14ac:dyDescent="0.2">
      <c r="A2653" s="2">
        <v>2025</v>
      </c>
      <c r="B2653" s="2">
        <v>9</v>
      </c>
      <c r="D2653" s="2" t="s">
        <v>1794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hidden="1" x14ac:dyDescent="0.2">
      <c r="A2654" s="2">
        <v>2025</v>
      </c>
      <c r="B2654" s="2">
        <v>9</v>
      </c>
      <c r="C2654" s="2" t="s">
        <v>3449</v>
      </c>
      <c r="D2654" s="2" t="s">
        <v>1893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3233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3233</v>
      </c>
      <c r="AA2655" s="2" t="s">
        <v>46</v>
      </c>
      <c r="AB2655" s="2" t="s">
        <v>61</v>
      </c>
      <c r="AC2655" s="2" t="s">
        <v>3339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3233</v>
      </c>
      <c r="AA2656" s="2" t="s">
        <v>46</v>
      </c>
      <c r="AB2656" s="2" t="s">
        <v>61</v>
      </c>
      <c r="AC2656" s="2" t="s">
        <v>3339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2482</v>
      </c>
      <c r="J2657" s="2" t="s">
        <v>3129</v>
      </c>
      <c r="K2657" s="2">
        <v>965864665</v>
      </c>
      <c r="L2657" s="2" t="s">
        <v>345</v>
      </c>
      <c r="M2657" s="2" t="s">
        <v>81</v>
      </c>
      <c r="O2657" s="2" t="s">
        <v>3131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3233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2482</v>
      </c>
      <c r="J2658" s="2" t="s">
        <v>3129</v>
      </c>
      <c r="K2658" s="2">
        <v>965864665</v>
      </c>
      <c r="L2658" s="2" t="s">
        <v>345</v>
      </c>
      <c r="M2658" s="2" t="s">
        <v>81</v>
      </c>
      <c r="O2658" s="2" t="s">
        <v>3131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3233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3135</v>
      </c>
      <c r="K2659" s="2">
        <v>962555043</v>
      </c>
      <c r="L2659" s="2" t="s">
        <v>345</v>
      </c>
      <c r="M2659" s="2" t="s">
        <v>40</v>
      </c>
      <c r="O2659" s="2" t="s">
        <v>3137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3135</v>
      </c>
      <c r="K2660" s="2">
        <v>962555043</v>
      </c>
      <c r="L2660" s="2" t="s">
        <v>345</v>
      </c>
      <c r="M2660" s="2" t="s">
        <v>40</v>
      </c>
      <c r="O2660" s="2" t="s">
        <v>3137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hidden="1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2238</v>
      </c>
      <c r="P2661" s="2" t="s">
        <v>115</v>
      </c>
      <c r="Q2661" s="2" t="s">
        <v>2231</v>
      </c>
      <c r="R2661" s="2" t="s">
        <v>2232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hidden="1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2544</v>
      </c>
      <c r="L2663" s="2" t="s">
        <v>100</v>
      </c>
      <c r="M2663" s="2" t="s">
        <v>81</v>
      </c>
      <c r="P2663" s="2" t="s">
        <v>43</v>
      </c>
      <c r="Q2663" s="2" t="s">
        <v>2239</v>
      </c>
      <c r="R2663" s="2" t="s">
        <v>2240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Z2663" s="2" t="s">
        <v>3233</v>
      </c>
      <c r="AA2663" s="2" t="s">
        <v>46</v>
      </c>
      <c r="AB2663" s="2" t="s">
        <v>47</v>
      </c>
      <c r="AC2663" s="2" t="s">
        <v>58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hidden="1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2544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3233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2241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3233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2241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3233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hidden="1" x14ac:dyDescent="0.2">
      <c r="A2667" s="2">
        <v>2025</v>
      </c>
      <c r="B2667" s="2">
        <v>9</v>
      </c>
      <c r="D2667" s="2" t="s">
        <v>1801</v>
      </c>
      <c r="P2667" s="2" t="s">
        <v>3237</v>
      </c>
      <c r="Q2667" s="2" t="s">
        <v>1792</v>
      </c>
      <c r="R2667" s="2" t="s">
        <v>1793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3237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2242</v>
      </c>
      <c r="P2668" s="2" t="s">
        <v>3237</v>
      </c>
      <c r="Q2668" s="2" t="s">
        <v>1792</v>
      </c>
      <c r="R2668" s="2" t="s">
        <v>1793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3237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3233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3233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hidden="1" x14ac:dyDescent="0.2">
      <c r="A2671" s="2">
        <v>2025</v>
      </c>
      <c r="B2671" s="2">
        <v>9</v>
      </c>
      <c r="D2671" s="2" t="s">
        <v>2243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3233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2243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3233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hidden="1" x14ac:dyDescent="0.2">
      <c r="A2673" s="2">
        <v>2025</v>
      </c>
      <c r="B2673" s="2">
        <v>9</v>
      </c>
      <c r="D2673" s="2" t="s">
        <v>1569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3233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1569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3233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hidden="1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hidden="1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hidden="1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hidden="1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3388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hidden="1" x14ac:dyDescent="0.2">
      <c r="A2680" s="2">
        <v>2025</v>
      </c>
      <c r="B2680" s="2">
        <v>9</v>
      </c>
      <c r="D2680" s="2" t="s">
        <v>1570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hidden="1" x14ac:dyDescent="0.2">
      <c r="A2681" s="2">
        <v>2025</v>
      </c>
      <c r="B2681" s="2">
        <v>9</v>
      </c>
      <c r="D2681" s="2" t="s">
        <v>1570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3388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hidden="1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hidden="1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1335</v>
      </c>
      <c r="R2683" s="2" t="s">
        <v>1336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hidden="1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hidden="1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3388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hidden="1" x14ac:dyDescent="0.2">
      <c r="A2687" s="2">
        <v>2025</v>
      </c>
      <c r="B2687" s="2">
        <v>9</v>
      </c>
      <c r="D2687" s="2" t="s">
        <v>2244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hidden="1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3233</v>
      </c>
      <c r="AA2688" s="2" t="s">
        <v>46</v>
      </c>
      <c r="AB2688" s="2" t="s">
        <v>61</v>
      </c>
      <c r="AC2688" s="2" t="s">
        <v>3339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hidden="1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3233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hidden="1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3233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hidden="1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3233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hidden="1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3233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3233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hidden="1" x14ac:dyDescent="0.2">
      <c r="A2694" s="2">
        <v>2025</v>
      </c>
      <c r="B2694" s="2">
        <v>9</v>
      </c>
      <c r="D2694" s="2" t="s">
        <v>1578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2245</v>
      </c>
      <c r="R2694" s="2" t="s">
        <v>2246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Z2694" s="2" t="s">
        <v>105</v>
      </c>
      <c r="AA2694" s="2" t="s">
        <v>1579</v>
      </c>
      <c r="AB2694" s="2" t="s">
        <v>389</v>
      </c>
      <c r="AC2694" s="2" t="s">
        <v>1330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hidden="1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1196</v>
      </c>
      <c r="Q2696" s="2" t="s">
        <v>2247</v>
      </c>
      <c r="R2696" s="2" t="s">
        <v>2248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hidden="1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hidden="1" x14ac:dyDescent="0.2">
      <c r="A2698" s="2">
        <v>2025</v>
      </c>
      <c r="B2698" s="2">
        <v>9</v>
      </c>
      <c r="D2698" s="2" t="s">
        <v>2249</v>
      </c>
      <c r="P2698" s="2" t="s">
        <v>73</v>
      </c>
      <c r="Q2698" s="2" t="s">
        <v>1393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3233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2249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3233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hidden="1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3154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3233</v>
      </c>
      <c r="AA2700" s="2" t="s">
        <v>1043</v>
      </c>
      <c r="AB2700" s="2" t="s">
        <v>1044</v>
      </c>
      <c r="AC2700" s="2" t="s">
        <v>1040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2250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3233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2250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3233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hidden="1" x14ac:dyDescent="0.2">
      <c r="A2704" s="2">
        <v>2025</v>
      </c>
      <c r="B2704" s="2">
        <v>9</v>
      </c>
      <c r="D2704" s="2" t="s">
        <v>1258</v>
      </c>
      <c r="G2704" s="2">
        <v>513777377</v>
      </c>
      <c r="M2704" s="2" t="s">
        <v>81</v>
      </c>
      <c r="O2704" s="2" t="s">
        <v>3172</v>
      </c>
      <c r="P2704" s="2" t="s">
        <v>1040</v>
      </c>
      <c r="Q2704" s="2" t="s">
        <v>2251</v>
      </c>
      <c r="R2704" s="2" t="s">
        <v>2252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3233</v>
      </c>
      <c r="AA2704" s="2" t="s">
        <v>1043</v>
      </c>
      <c r="AB2704" s="2" t="s">
        <v>2253</v>
      </c>
      <c r="AC2704" s="2" t="s">
        <v>1040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hidden="1" x14ac:dyDescent="0.2">
      <c r="A2706" s="2">
        <v>2025</v>
      </c>
      <c r="B2706" s="2">
        <v>9</v>
      </c>
      <c r="D2706" s="2" t="s">
        <v>2254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3233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2254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3233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2255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hidden="1" x14ac:dyDescent="0.2">
      <c r="A2709" s="2">
        <v>2025</v>
      </c>
      <c r="B2709" s="2">
        <v>9</v>
      </c>
      <c r="D2709" s="2" t="s">
        <v>2255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hidden="1" x14ac:dyDescent="0.2">
      <c r="A2710" s="2">
        <v>2025</v>
      </c>
      <c r="B2710" s="2">
        <v>9</v>
      </c>
      <c r="D2710" s="2" t="s">
        <v>2255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3388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hidden="1" x14ac:dyDescent="0.2">
      <c r="A2711" s="2">
        <v>2025</v>
      </c>
      <c r="B2711" s="2">
        <v>9</v>
      </c>
      <c r="D2711" s="2" t="s">
        <v>1400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3223</v>
      </c>
      <c r="J2711" s="2" t="s">
        <v>3222</v>
      </c>
      <c r="K2711" s="2">
        <v>913814877</v>
      </c>
      <c r="L2711" s="2" t="s">
        <v>202</v>
      </c>
      <c r="M2711" s="2" t="s">
        <v>81</v>
      </c>
      <c r="O2711" s="2" t="s">
        <v>3216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3233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1400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3223</v>
      </c>
      <c r="J2712" s="2" t="s">
        <v>3222</v>
      </c>
      <c r="K2712" s="2">
        <v>913814877</v>
      </c>
      <c r="L2712" s="2" t="s">
        <v>202</v>
      </c>
      <c r="M2712" s="2" t="s">
        <v>81</v>
      </c>
      <c r="O2712" s="2" t="s">
        <v>3216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hidden="1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2256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3233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3233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hidden="1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2257</v>
      </c>
      <c r="P2715" s="2" t="s">
        <v>283</v>
      </c>
      <c r="Q2715" s="2" t="s">
        <v>2258</v>
      </c>
      <c r="R2715" s="2" t="s">
        <v>2259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3233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2257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3233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hidden="1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2257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3233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2257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3233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hidden="1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2260</v>
      </c>
      <c r="P2719" s="2" t="s">
        <v>73</v>
      </c>
      <c r="Q2719" s="2" t="s">
        <v>1451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3233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2261</v>
      </c>
      <c r="P2720" s="2" t="s">
        <v>73</v>
      </c>
      <c r="Q2720" s="2" t="s">
        <v>2262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3233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2263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3233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hidden="1" x14ac:dyDescent="0.2">
      <c r="A2722" s="2">
        <v>2025</v>
      </c>
      <c r="B2722" s="2">
        <v>9</v>
      </c>
      <c r="D2722" s="2" t="s">
        <v>2264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5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545.75549999999998</v>
      </c>
      <c r="AL2722" s="5">
        <f t="shared" si="306"/>
        <v>0.30489134078212288</v>
      </c>
    </row>
    <row r="2723" spans="1:38" hidden="1" x14ac:dyDescent="0.2">
      <c r="A2723" s="2">
        <v>2025</v>
      </c>
      <c r="B2723" s="2">
        <v>9</v>
      </c>
      <c r="D2723" s="2" t="s">
        <v>2265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3233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hidden="1" x14ac:dyDescent="0.2">
      <c r="A2724" s="2">
        <v>2025</v>
      </c>
      <c r="B2724" s="2">
        <v>9</v>
      </c>
      <c r="D2724" s="2" t="s">
        <v>2265</v>
      </c>
      <c r="P2724" s="2" t="s">
        <v>283</v>
      </c>
      <c r="Q2724" s="2" t="s">
        <v>2239</v>
      </c>
      <c r="R2724" s="2" t="s">
        <v>2240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3233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hidden="1" x14ac:dyDescent="0.2">
      <c r="A2725" s="2">
        <v>2025</v>
      </c>
      <c r="B2725" s="2">
        <v>9</v>
      </c>
      <c r="D2725" s="2" t="s">
        <v>2265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2266</v>
      </c>
      <c r="J2725" s="2" t="s">
        <v>2267</v>
      </c>
      <c r="L2725" s="2" t="s">
        <v>419</v>
      </c>
      <c r="M2725" s="2" t="s">
        <v>41</v>
      </c>
      <c r="O2725" s="2" t="s">
        <v>2268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3233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2265</v>
      </c>
      <c r="M2726" s="2" t="s">
        <v>41</v>
      </c>
      <c r="O2726" s="2" t="s">
        <v>2268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3233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2265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3233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2265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3233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2265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3233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1559</v>
      </c>
      <c r="J2730" s="2" t="s">
        <v>1830</v>
      </c>
      <c r="L2730" s="2" t="s">
        <v>178</v>
      </c>
      <c r="P2730" s="2" t="s">
        <v>283</v>
      </c>
      <c r="Q2730" s="2" t="s">
        <v>1541</v>
      </c>
      <c r="R2730" s="2" t="s">
        <v>1542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05"/>
        <v>0.29992072480181192</v>
      </c>
      <c r="Z2730" s="2" t="s">
        <v>3233</v>
      </c>
      <c r="AA2730" s="2" t="s">
        <v>156</v>
      </c>
      <c r="AB2730" s="2" t="s">
        <v>3411</v>
      </c>
      <c r="AC2730" s="2" t="s">
        <v>1330</v>
      </c>
      <c r="AF2730" s="2">
        <f t="shared" si="302"/>
        <v>0</v>
      </c>
      <c r="AJ2730" s="2">
        <f t="shared" si="303"/>
        <v>0</v>
      </c>
      <c r="AK2730" s="2">
        <f t="shared" si="304"/>
        <v>15.889799999999994</v>
      </c>
      <c r="AL2730" s="5">
        <f t="shared" si="306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1559</v>
      </c>
      <c r="J2731" s="2" t="s">
        <v>1830</v>
      </c>
      <c r="L2731" s="2" t="s">
        <v>178</v>
      </c>
      <c r="P2731" s="2" t="s">
        <v>283</v>
      </c>
      <c r="Q2731" s="2" t="s">
        <v>2269</v>
      </c>
      <c r="R2731" s="2" t="s">
        <v>2270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05"/>
        <v>0.30000000000000004</v>
      </c>
      <c r="Z2731" s="2" t="s">
        <v>3233</v>
      </c>
      <c r="AA2731" s="2" t="s">
        <v>156</v>
      </c>
      <c r="AB2731" s="2" t="s">
        <v>3411</v>
      </c>
      <c r="AC2731" s="2" t="s">
        <v>1330</v>
      </c>
      <c r="AF2731" s="2">
        <f t="shared" si="302"/>
        <v>0</v>
      </c>
      <c r="AJ2731" s="2">
        <f t="shared" si="303"/>
        <v>0</v>
      </c>
      <c r="AK2731" s="2">
        <f t="shared" si="304"/>
        <v>12.600000000000001</v>
      </c>
      <c r="AL2731" s="5">
        <f t="shared" si="306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1559</v>
      </c>
      <c r="J2732" s="2" t="s">
        <v>1830</v>
      </c>
      <c r="L2732" s="2" t="s">
        <v>178</v>
      </c>
      <c r="P2732" s="2" t="s">
        <v>283</v>
      </c>
      <c r="Q2732" s="2" t="s">
        <v>1787</v>
      </c>
      <c r="R2732" s="2" t="s">
        <v>1788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Z2732" s="2" t="s">
        <v>3233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1559</v>
      </c>
      <c r="J2733" s="2" t="s">
        <v>1830</v>
      </c>
      <c r="L2733" s="2" t="s">
        <v>178</v>
      </c>
      <c r="P2733" s="2" t="s">
        <v>283</v>
      </c>
      <c r="Q2733" s="2" t="s">
        <v>1789</v>
      </c>
      <c r="R2733" s="2" t="s">
        <v>1788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Z2733" s="2" t="s">
        <v>3233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hidden="1" x14ac:dyDescent="0.2">
      <c r="A2734" s="2">
        <v>2025</v>
      </c>
      <c r="B2734" s="2">
        <v>9</v>
      </c>
      <c r="D2734" s="2" t="s">
        <v>2055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2055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hidden="1" x14ac:dyDescent="0.2">
      <c r="A2736" s="2">
        <v>2025</v>
      </c>
      <c r="B2736" s="2">
        <v>9</v>
      </c>
      <c r="D2736" s="2" t="s">
        <v>2055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3388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hidden="1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3233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3233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hidden="1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2271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2272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3233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2272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3233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hidden="1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hidden="1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2273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2273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hidden="1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2274</v>
      </c>
      <c r="P2745" s="2" t="s">
        <v>115</v>
      </c>
      <c r="Q2745" s="2" t="s">
        <v>2275</v>
      </c>
      <c r="R2745" s="2" t="s">
        <v>2276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hidden="1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2277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3233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hidden="1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2277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3233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hidden="1" x14ac:dyDescent="0.2">
      <c r="A2748" s="2">
        <v>2025</v>
      </c>
      <c r="B2748" s="2">
        <v>9</v>
      </c>
      <c r="D2748" s="2" t="s">
        <v>2278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hidden="1" x14ac:dyDescent="0.2">
      <c r="A2749" s="2">
        <v>2025</v>
      </c>
      <c r="B2749" s="2">
        <v>9</v>
      </c>
      <c r="D2749" s="2" t="s">
        <v>2278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hidden="1" x14ac:dyDescent="0.2">
      <c r="A2750" s="2">
        <v>2025</v>
      </c>
      <c r="B2750" s="2">
        <v>9</v>
      </c>
      <c r="D2750" s="2" t="s">
        <v>2278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3388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hidden="1" x14ac:dyDescent="0.2">
      <c r="A2751" s="2">
        <v>2025</v>
      </c>
      <c r="B2751" s="2">
        <v>9</v>
      </c>
      <c r="D2751" s="2" t="s">
        <v>1293</v>
      </c>
      <c r="P2751" s="2" t="s">
        <v>115</v>
      </c>
      <c r="Q2751" s="2" t="s">
        <v>2279</v>
      </c>
      <c r="R2751" s="2" t="s">
        <v>2280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hidden="1" x14ac:dyDescent="0.2">
      <c r="A2752" s="2">
        <v>2025</v>
      </c>
      <c r="B2752" s="2">
        <v>9</v>
      </c>
      <c r="D2752" s="2" t="s">
        <v>1293</v>
      </c>
      <c r="P2752" s="2" t="s">
        <v>115</v>
      </c>
      <c r="Q2752" s="2" t="s">
        <v>1695</v>
      </c>
      <c r="R2752" s="2" t="s">
        <v>1696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hidden="1" x14ac:dyDescent="0.2">
      <c r="A2753" s="2">
        <v>2025</v>
      </c>
      <c r="B2753" s="2">
        <v>9</v>
      </c>
      <c r="D2753" s="2" t="s">
        <v>1293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3233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1293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hidden="1" x14ac:dyDescent="0.2">
      <c r="A2755" s="2">
        <v>2025</v>
      </c>
      <c r="B2755" s="2">
        <v>9</v>
      </c>
      <c r="D2755" s="2" t="s">
        <v>1293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hidden="1" x14ac:dyDescent="0.2">
      <c r="A2756" s="2">
        <v>2025</v>
      </c>
      <c r="B2756" s="2">
        <v>9</v>
      </c>
      <c r="D2756" s="2" t="s">
        <v>1293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3233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hidden="1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2281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3233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2281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hidden="1" x14ac:dyDescent="0.2">
      <c r="A2759" s="2">
        <v>2025</v>
      </c>
      <c r="B2759" s="2">
        <v>9</v>
      </c>
      <c r="D2759" s="2" t="s">
        <v>1949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3233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2282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2283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3233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3233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hidden="1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3233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1926</v>
      </c>
      <c r="R2765" s="2" t="s">
        <v>1927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3233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3233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hidden="1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3233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3233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hidden="1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3233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2284</v>
      </c>
      <c r="R2771" s="2" t="s">
        <v>2285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3233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hidden="1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3233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hidden="1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2073</v>
      </c>
      <c r="R2773" s="2" t="s">
        <v>2074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3233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hidden="1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2286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3233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hidden="1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2286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3233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hidden="1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2286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3233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hidden="1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2286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3233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hidden="1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2286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3233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hidden="1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2286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3233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hidden="1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2286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3233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hidden="1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2286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3233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hidden="1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2286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3233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hidden="1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2286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3233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hidden="1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2286</v>
      </c>
      <c r="P2784" s="2" t="s">
        <v>43</v>
      </c>
      <c r="Q2784" s="2" t="s">
        <v>1434</v>
      </c>
      <c r="R2784" s="2" t="s">
        <v>1435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3233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hidden="1" x14ac:dyDescent="0.2">
      <c r="A2785" s="2">
        <v>2025</v>
      </c>
      <c r="B2785" s="2">
        <v>9</v>
      </c>
      <c r="D2785" s="2" t="s">
        <v>1298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1299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3233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1298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1299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3233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hidden="1" x14ac:dyDescent="0.2">
      <c r="A2787" s="2">
        <v>2025</v>
      </c>
      <c r="B2787" s="2">
        <v>9</v>
      </c>
      <c r="D2787" s="2" t="s">
        <v>1438</v>
      </c>
      <c r="P2787" s="2" t="s">
        <v>115</v>
      </c>
      <c r="Q2787" s="2" t="s">
        <v>2287</v>
      </c>
      <c r="R2787" s="2" t="s">
        <v>2288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hidden="1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3233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hidden="1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3233</v>
      </c>
      <c r="AA2789" s="2" t="s">
        <v>46</v>
      </c>
      <c r="AB2789" s="2" t="s">
        <v>61</v>
      </c>
      <c r="AC2789" s="2" t="s">
        <v>3339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hidden="1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P2790" s="2" t="s">
        <v>43</v>
      </c>
      <c r="Q2790" s="2" t="s">
        <v>1366</v>
      </c>
      <c r="R2790" s="2" t="s">
        <v>1367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3233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hidden="1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3233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hidden="1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3233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hidden="1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3233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hidden="1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3233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hidden="1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3233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hidden="1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3233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3233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3233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2289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2289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hidden="1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2290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3233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2290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3233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hidden="1" x14ac:dyDescent="0.2">
      <c r="A2804" s="2">
        <v>2025</v>
      </c>
      <c r="B2804" s="2">
        <v>9</v>
      </c>
      <c r="D2804" s="2" t="s">
        <v>1442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hidden="1" x14ac:dyDescent="0.2">
      <c r="A2805" s="2">
        <v>2025</v>
      </c>
      <c r="B2805" s="2">
        <v>9</v>
      </c>
      <c r="D2805" s="2" t="s">
        <v>1442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hidden="1" x14ac:dyDescent="0.2">
      <c r="A2806" s="2">
        <v>2025</v>
      </c>
      <c r="B2806" s="2">
        <v>9</v>
      </c>
      <c r="D2806" s="2" t="s">
        <v>2197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3233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2197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3233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hidden="1" x14ac:dyDescent="0.2">
      <c r="A2808" s="2">
        <v>2025</v>
      </c>
      <c r="B2808" s="2">
        <v>9</v>
      </c>
      <c r="D2808" s="2" t="s">
        <v>1315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1316</v>
      </c>
      <c r="L2808" s="2" t="s">
        <v>178</v>
      </c>
      <c r="M2808" s="2" t="s">
        <v>41</v>
      </c>
      <c r="O2808" s="2" t="s">
        <v>2291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3233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hidden="1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hidden="1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hidden="1" x14ac:dyDescent="0.2">
      <c r="A2811" s="2">
        <v>2025</v>
      </c>
      <c r="B2811" s="2">
        <v>9</v>
      </c>
      <c r="D2811" s="2" t="s">
        <v>2292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2292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hidden="1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3233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3233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hidden="1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3233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hidden="1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3233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3233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hidden="1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3233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2293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2294</v>
      </c>
      <c r="L2819" s="2" t="s">
        <v>202</v>
      </c>
      <c r="M2819" s="2" t="s">
        <v>40</v>
      </c>
      <c r="O2819" s="2" t="s">
        <v>2295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hidden="1" x14ac:dyDescent="0.2">
      <c r="A2820" s="2">
        <v>2026</v>
      </c>
      <c r="B2820" s="2">
        <v>2</v>
      </c>
      <c r="D2820" s="2" t="s">
        <v>2293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2294</v>
      </c>
      <c r="L2820" s="2" t="s">
        <v>202</v>
      </c>
      <c r="M2820" s="2" t="s">
        <v>40</v>
      </c>
      <c r="O2820" s="2" t="s">
        <v>2295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hidden="1" x14ac:dyDescent="0.2">
      <c r="A2821" s="2">
        <v>2026</v>
      </c>
      <c r="B2821" s="2">
        <v>2</v>
      </c>
      <c r="D2821" s="2" t="s">
        <v>2296</v>
      </c>
      <c r="E2821" s="2" t="s">
        <v>38</v>
      </c>
      <c r="G2821" s="2">
        <v>509800696</v>
      </c>
      <c r="H2821" s="2" t="s">
        <v>291</v>
      </c>
      <c r="I2821" s="2" t="s">
        <v>2297</v>
      </c>
      <c r="J2821" s="2" t="s">
        <v>2298</v>
      </c>
      <c r="K2821" s="2">
        <v>930444437</v>
      </c>
      <c r="L2821" s="2" t="s">
        <v>2297</v>
      </c>
      <c r="M2821" s="2" t="s">
        <v>40</v>
      </c>
      <c r="O2821" s="2" t="s">
        <v>2299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hidden="1" x14ac:dyDescent="0.2">
      <c r="A2822" s="2">
        <v>2026</v>
      </c>
      <c r="B2822" s="2">
        <v>2</v>
      </c>
      <c r="D2822" s="2" t="s">
        <v>2296</v>
      </c>
      <c r="E2822" s="2" t="s">
        <v>38</v>
      </c>
      <c r="G2822" s="2">
        <v>509800696</v>
      </c>
      <c r="H2822" s="2" t="s">
        <v>291</v>
      </c>
      <c r="I2822" s="2" t="s">
        <v>2297</v>
      </c>
      <c r="J2822" s="2" t="s">
        <v>2298</v>
      </c>
      <c r="K2822" s="2">
        <v>930444437</v>
      </c>
      <c r="L2822" s="2" t="s">
        <v>2297</v>
      </c>
      <c r="M2822" s="2" t="s">
        <v>40</v>
      </c>
      <c r="O2822" s="2" t="s">
        <v>2299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hidden="1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2300</v>
      </c>
      <c r="J2823" s="2" t="s">
        <v>2301</v>
      </c>
      <c r="K2823" s="2">
        <v>965790183</v>
      </c>
      <c r="L2823" s="2" t="s">
        <v>178</v>
      </c>
      <c r="M2823" s="2" t="s">
        <v>40</v>
      </c>
      <c r="O2823" s="2" t="s">
        <v>2302</v>
      </c>
      <c r="P2823" s="2" t="s">
        <v>115</v>
      </c>
      <c r="Q2823" s="2" t="s">
        <v>2303</v>
      </c>
      <c r="R2823" s="2" t="s">
        <v>2304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2305</v>
      </c>
      <c r="P2824" s="2" t="s">
        <v>115</v>
      </c>
      <c r="Q2824" s="2" t="s">
        <v>1377</v>
      </c>
      <c r="R2824" s="2" t="s">
        <v>1378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2305</v>
      </c>
      <c r="P2825" s="2" t="s">
        <v>115</v>
      </c>
      <c r="Q2825" s="2" t="s">
        <v>2233</v>
      </c>
      <c r="R2825" s="2" t="s">
        <v>2234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2306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2307</v>
      </c>
      <c r="P2827" s="2" t="s">
        <v>115</v>
      </c>
      <c r="Q2827" s="2" t="s">
        <v>1519</v>
      </c>
      <c r="R2827" s="2" t="s">
        <v>1520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1665</v>
      </c>
      <c r="G2828" s="2">
        <v>510222340</v>
      </c>
      <c r="I2828" s="2" t="s">
        <v>2308</v>
      </c>
      <c r="L2828" s="2" t="s">
        <v>345</v>
      </c>
      <c r="M2828" s="2" t="s">
        <v>40</v>
      </c>
      <c r="O2828" s="2" t="s">
        <v>2309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2310</v>
      </c>
      <c r="P2829" s="2" t="s">
        <v>115</v>
      </c>
      <c r="Q2829" s="2" t="s">
        <v>2311</v>
      </c>
      <c r="R2829" s="2" t="s">
        <v>2312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hidden="1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2310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1587</v>
      </c>
      <c r="G2831" s="2">
        <v>504855395</v>
      </c>
      <c r="M2831" s="2" t="s">
        <v>40</v>
      </c>
      <c r="O2831" s="2" t="s">
        <v>2313</v>
      </c>
      <c r="P2831" s="2" t="s">
        <v>115</v>
      </c>
      <c r="Q2831" s="2" t="s">
        <v>2314</v>
      </c>
      <c r="R2831" s="2" t="s">
        <v>2315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1587</v>
      </c>
      <c r="M2832" s="2" t="s">
        <v>40</v>
      </c>
      <c r="O2832" s="2" t="s">
        <v>2313</v>
      </c>
      <c r="P2832" s="2" t="s">
        <v>115</v>
      </c>
      <c r="Q2832" s="2" t="s">
        <v>2316</v>
      </c>
      <c r="R2832" s="2" t="s">
        <v>2317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2318</v>
      </c>
      <c r="E2833" s="2" t="s">
        <v>38</v>
      </c>
      <c r="G2833" s="2">
        <v>169582760</v>
      </c>
      <c r="H2833" s="2" t="s">
        <v>291</v>
      </c>
      <c r="I2833" s="2" t="s">
        <v>2319</v>
      </c>
      <c r="J2833" s="2" t="s">
        <v>2320</v>
      </c>
      <c r="L2833" s="2" t="s">
        <v>2297</v>
      </c>
      <c r="M2833" s="2" t="s">
        <v>40</v>
      </c>
      <c r="O2833" s="2" t="s">
        <v>2321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2307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2322</v>
      </c>
      <c r="P2835" s="2" t="s">
        <v>115</v>
      </c>
      <c r="Q2835" s="2" t="s">
        <v>2323</v>
      </c>
      <c r="R2835" s="2" t="s">
        <v>2324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2325</v>
      </c>
      <c r="M2836" s="2" t="s">
        <v>40</v>
      </c>
      <c r="O2836" s="2" t="s">
        <v>2326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1293</v>
      </c>
      <c r="I2837" s="2" t="s">
        <v>2327</v>
      </c>
      <c r="M2837" s="2" t="s">
        <v>40</v>
      </c>
      <c r="O2837" s="2" t="s">
        <v>2328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1883</v>
      </c>
      <c r="M2838" s="2" t="s">
        <v>40</v>
      </c>
      <c r="O2838" s="2" t="s">
        <v>2329</v>
      </c>
      <c r="P2838" s="2" t="s">
        <v>115</v>
      </c>
      <c r="Q2838" s="2" t="s">
        <v>1416</v>
      </c>
      <c r="R2838" s="2" t="s">
        <v>1417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2330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2237</v>
      </c>
      <c r="M2840" s="2" t="s">
        <v>40</v>
      </c>
      <c r="O2840" s="2" t="s">
        <v>2331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2332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2333</v>
      </c>
      <c r="I2842" s="2" t="s">
        <v>805</v>
      </c>
      <c r="L2842" s="2" t="s">
        <v>100</v>
      </c>
      <c r="M2842" s="2" t="s">
        <v>40</v>
      </c>
      <c r="O2842" s="2" t="s">
        <v>2334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1293</v>
      </c>
      <c r="M2843" s="2" t="s">
        <v>40</v>
      </c>
      <c r="O2843" s="2" t="s">
        <v>2335</v>
      </c>
      <c r="P2843" s="2" t="s">
        <v>115</v>
      </c>
      <c r="Q2843" s="2" t="s">
        <v>2336</v>
      </c>
      <c r="R2843" s="2" t="s">
        <v>2337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2338</v>
      </c>
      <c r="P2844" s="2" t="s">
        <v>115</v>
      </c>
      <c r="Q2844" s="2" t="s">
        <v>1660</v>
      </c>
      <c r="R2844" s="2" t="s">
        <v>1661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1883</v>
      </c>
      <c r="M2845" s="2" t="s">
        <v>40</v>
      </c>
      <c r="O2845" s="2" t="s">
        <v>2329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2339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hidden="1" x14ac:dyDescent="0.2">
      <c r="A2847" s="2">
        <v>2026</v>
      </c>
      <c r="B2847" s="2">
        <v>1</v>
      </c>
      <c r="D2847" s="2" t="s">
        <v>2340</v>
      </c>
      <c r="M2847" s="2" t="s">
        <v>41</v>
      </c>
      <c r="P2847" s="2" t="s">
        <v>115</v>
      </c>
      <c r="Q2847" s="2" t="s">
        <v>2341</v>
      </c>
      <c r="R2847" s="2" t="s">
        <v>2342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hidden="1" x14ac:dyDescent="0.2">
      <c r="A2848" s="2">
        <v>2026</v>
      </c>
      <c r="B2848" s="2">
        <v>1</v>
      </c>
      <c r="D2848" s="2" t="s">
        <v>1627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1628</v>
      </c>
      <c r="J2848" s="2" t="s">
        <v>1629</v>
      </c>
      <c r="L2848" s="2" t="s">
        <v>294</v>
      </c>
      <c r="M2848" s="2" t="s">
        <v>40</v>
      </c>
      <c r="O2848" s="2" t="s">
        <v>2343</v>
      </c>
      <c r="P2848" s="2" t="s">
        <v>115</v>
      </c>
      <c r="Q2848" s="2" t="s">
        <v>1474</v>
      </c>
      <c r="R2848" s="2" t="s">
        <v>1475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2344</v>
      </c>
      <c r="M2849" s="2" t="s">
        <v>40</v>
      </c>
      <c r="P2849" s="2" t="s">
        <v>115</v>
      </c>
      <c r="Q2849" s="2" t="s">
        <v>1474</v>
      </c>
      <c r="R2849" s="2" t="s">
        <v>1475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1474</v>
      </c>
      <c r="R2850" s="2" t="s">
        <v>1475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2345</v>
      </c>
      <c r="R2851" s="2" t="s">
        <v>2346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2347</v>
      </c>
      <c r="R2852" s="2" t="s">
        <v>2348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2349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3334</v>
      </c>
      <c r="D2855" s="2" t="s">
        <v>3335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2349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2350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2325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2300</v>
      </c>
      <c r="J2858" s="2" t="s">
        <v>2301</v>
      </c>
      <c r="K2858" s="2">
        <v>965790183</v>
      </c>
      <c r="L2858" s="2" t="s">
        <v>178</v>
      </c>
      <c r="M2858" s="2" t="s">
        <v>41</v>
      </c>
      <c r="O2858" s="2" t="s">
        <v>2351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975</v>
      </c>
      <c r="M2859" s="2" t="s">
        <v>3308</v>
      </c>
      <c r="P2859" s="2" t="s">
        <v>2352</v>
      </c>
      <c r="Q2859" s="2" t="s">
        <v>2353</v>
      </c>
      <c r="R2859" s="2" t="s">
        <v>2354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2352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1558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1559</v>
      </c>
      <c r="J2860" s="2" t="s">
        <v>1560</v>
      </c>
      <c r="L2860" s="2" t="s">
        <v>100</v>
      </c>
      <c r="M2860" s="2" t="s">
        <v>41</v>
      </c>
      <c r="P2860" s="2" t="s">
        <v>2355</v>
      </c>
      <c r="Q2860" s="2" t="s">
        <v>2356</v>
      </c>
      <c r="R2860" s="2" t="s">
        <v>2357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2355</v>
      </c>
      <c r="AC2860" s="2" t="s">
        <v>2355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2358</v>
      </c>
      <c r="P2861" s="2" t="s">
        <v>283</v>
      </c>
      <c r="Q2861" s="2" t="s">
        <v>1515</v>
      </c>
      <c r="R2861" s="2" t="s">
        <v>1516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3233</v>
      </c>
      <c r="AA2861" s="2" t="s">
        <v>72</v>
      </c>
      <c r="AB2861" s="2" t="s">
        <v>1605</v>
      </c>
      <c r="AC2861" s="2" t="s">
        <v>1605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2359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2360</v>
      </c>
      <c r="P2862" s="2" t="s">
        <v>283</v>
      </c>
      <c r="Q2862" s="2" t="s">
        <v>2361</v>
      </c>
      <c r="R2862" s="2" t="s">
        <v>2362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3233</v>
      </c>
      <c r="AA2862" s="2" t="s">
        <v>72</v>
      </c>
      <c r="AB2862" s="2" t="s">
        <v>1605</v>
      </c>
      <c r="AC2862" s="2" t="s">
        <v>1605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2363</v>
      </c>
      <c r="E2863" s="2" t="s">
        <v>753</v>
      </c>
      <c r="G2863" s="2">
        <v>191221937</v>
      </c>
      <c r="H2863" s="2" t="s">
        <v>110</v>
      </c>
      <c r="I2863" s="2" t="s">
        <v>2364</v>
      </c>
      <c r="J2863" s="2" t="s">
        <v>2365</v>
      </c>
      <c r="L2863" s="2" t="s">
        <v>134</v>
      </c>
      <c r="M2863" s="2" t="s">
        <v>110</v>
      </c>
      <c r="P2863" s="2" t="s">
        <v>283</v>
      </c>
      <c r="Q2863" s="2" t="s">
        <v>1552</v>
      </c>
      <c r="R2863" s="2" t="s">
        <v>1553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3233</v>
      </c>
      <c r="AA2864" s="2" t="s">
        <v>46</v>
      </c>
      <c r="AB2864" s="2" t="s">
        <v>61</v>
      </c>
      <c r="AC2864" s="2" t="s">
        <v>3339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3233</v>
      </c>
      <c r="AA2865" s="2" t="s">
        <v>46</v>
      </c>
      <c r="AB2865" s="2" t="s">
        <v>61</v>
      </c>
      <c r="AC2865" s="2" t="s">
        <v>3339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1558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1559</v>
      </c>
      <c r="J2866" s="2" t="s">
        <v>1560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3233</v>
      </c>
      <c r="AA2866" s="2" t="s">
        <v>46</v>
      </c>
      <c r="AB2866" s="2" t="s">
        <v>61</v>
      </c>
      <c r="AC2866" s="2" t="s">
        <v>3339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3233</v>
      </c>
      <c r="AA2867" s="2" t="s">
        <v>46</v>
      </c>
      <c r="AB2867" s="2" t="s">
        <v>61</v>
      </c>
      <c r="AC2867" s="2" t="s">
        <v>3339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2366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3233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2367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3233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2368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3233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2369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3233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hidden="1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3233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3233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2370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2371</v>
      </c>
      <c r="J2874" s="2" t="s">
        <v>2372</v>
      </c>
      <c r="K2874" s="2">
        <v>963062174</v>
      </c>
      <c r="L2874" s="2" t="s">
        <v>419</v>
      </c>
      <c r="M2874" s="2" t="s">
        <v>41</v>
      </c>
      <c r="O2874" s="2" t="s">
        <v>2373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3233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1366</v>
      </c>
      <c r="R2875" s="2" t="s">
        <v>1367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3233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hidden="1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3233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3233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3233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hidden="1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3233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hidden="1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3233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hidden="1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3233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2374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3233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3233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3233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3233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3233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hidden="1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2374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3233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3233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hidden="1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3233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hidden="1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2374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3233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3233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hidden="1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3233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hidden="1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3233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3233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hidden="1" x14ac:dyDescent="0.2">
      <c r="A2895" s="2">
        <v>2026</v>
      </c>
      <c r="B2895" s="2">
        <v>1</v>
      </c>
      <c r="D2895" s="2" t="s">
        <v>941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3233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3233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2220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3233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2375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3233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3233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3233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3233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3233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2376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3233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3233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1400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3223</v>
      </c>
      <c r="J2905" s="2" t="s">
        <v>3222</v>
      </c>
      <c r="K2905" s="2">
        <v>913814877</v>
      </c>
      <c r="L2905" s="2" t="s">
        <v>202</v>
      </c>
      <c r="M2905" s="2" t="s">
        <v>81</v>
      </c>
      <c r="O2905" s="2" t="s">
        <v>3217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3233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2377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3233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3233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3233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2378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3233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1315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1316</v>
      </c>
      <c r="L2910" s="2" t="s">
        <v>178</v>
      </c>
      <c r="M2910" s="2" t="s">
        <v>41</v>
      </c>
      <c r="O2910" s="2" t="s">
        <v>2379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3233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hidden="1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3376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3233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2380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3233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2381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3233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2367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3233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2382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3233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3233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2359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2360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3233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2383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3233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3233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3233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3233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3233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3233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2370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2371</v>
      </c>
      <c r="J2924" s="2" t="s">
        <v>2372</v>
      </c>
      <c r="K2924" s="2">
        <v>963062174</v>
      </c>
      <c r="L2924" s="2" t="s">
        <v>419</v>
      </c>
      <c r="M2924" s="2" t="s">
        <v>41</v>
      </c>
      <c r="O2924" s="2" t="s">
        <v>2373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3233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3233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hidden="1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3233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3233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2237</v>
      </c>
      <c r="P2928" s="2" t="s">
        <v>43</v>
      </c>
      <c r="Q2928" s="2" t="s">
        <v>2384</v>
      </c>
      <c r="R2928" s="2" t="s">
        <v>2385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3233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hidden="1" x14ac:dyDescent="0.2">
      <c r="A2929" s="2">
        <v>2026</v>
      </c>
      <c r="B2929" s="2">
        <v>1</v>
      </c>
      <c r="D2929" s="2" t="s">
        <v>1595</v>
      </c>
      <c r="P2929" s="2" t="s">
        <v>43</v>
      </c>
      <c r="Q2929" s="2" t="s">
        <v>2384</v>
      </c>
      <c r="R2929" s="2" t="s">
        <v>2385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3233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hidden="1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2386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3233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hidden="1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2386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3233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hidden="1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2374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3233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2378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3233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2220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3233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3233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3233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2387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3233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3277</v>
      </c>
      <c r="M2938" s="2" t="s">
        <v>110</v>
      </c>
      <c r="P2938" s="2" t="s">
        <v>3237</v>
      </c>
      <c r="Q2938" s="2" t="s">
        <v>2388</v>
      </c>
      <c r="R2938" s="2" t="s">
        <v>2389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3237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2390</v>
      </c>
      <c r="P2939" s="2" t="s">
        <v>167</v>
      </c>
      <c r="Q2939" s="2" t="s">
        <v>2391</v>
      </c>
      <c r="R2939" s="2" t="s">
        <v>2392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3233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hidden="1" x14ac:dyDescent="0.2">
      <c r="A2940" s="2">
        <v>2026</v>
      </c>
      <c r="B2940" s="2">
        <v>1</v>
      </c>
      <c r="D2940" s="2" t="s">
        <v>2393</v>
      </c>
      <c r="P2940" s="2" t="s">
        <v>69</v>
      </c>
      <c r="Q2940" s="2" t="s">
        <v>2394</v>
      </c>
      <c r="R2940" s="2" t="s">
        <v>2395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3238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hidden="1" x14ac:dyDescent="0.2">
      <c r="A2941" s="2">
        <v>2026</v>
      </c>
      <c r="B2941" s="2">
        <v>1</v>
      </c>
      <c r="D2941" s="2" t="s">
        <v>1521</v>
      </c>
      <c r="M2941" s="2" t="s">
        <v>110</v>
      </c>
      <c r="P2941" s="2" t="s">
        <v>69</v>
      </c>
      <c r="Q2941" s="2" t="s">
        <v>1522</v>
      </c>
      <c r="R2941" s="2" t="s">
        <v>1523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3238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2396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3233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2397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3233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3233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3233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2398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3233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3233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1598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1599</v>
      </c>
      <c r="J2948" s="2" t="s">
        <v>1600</v>
      </c>
      <c r="L2948" s="2" t="s">
        <v>202</v>
      </c>
      <c r="M2948" s="2" t="s">
        <v>81</v>
      </c>
      <c r="O2948" s="2" t="s">
        <v>2399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3233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1422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1275</v>
      </c>
      <c r="J2949" s="2" t="s">
        <v>2400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3233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2401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3233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2402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3233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3233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3233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2403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3233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2404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3233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1948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2405</v>
      </c>
      <c r="J2956" s="2" t="s">
        <v>2406</v>
      </c>
      <c r="L2956" s="2" t="s">
        <v>202</v>
      </c>
      <c r="M2956" s="2" t="s">
        <v>41</v>
      </c>
      <c r="O2956" s="2" t="s">
        <v>2407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3233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2408</v>
      </c>
      <c r="P2957" s="2" t="s">
        <v>73</v>
      </c>
      <c r="Q2957" s="2" t="s">
        <v>1393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3233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2014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3233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1558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1559</v>
      </c>
      <c r="J2959" s="2" t="s">
        <v>1560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3233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2409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3233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2397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2410</v>
      </c>
      <c r="J2961" s="2" t="s">
        <v>2411</v>
      </c>
      <c r="K2961" s="2">
        <v>919209638</v>
      </c>
      <c r="L2961" s="2" t="s">
        <v>294</v>
      </c>
      <c r="M2961" s="2" t="s">
        <v>81</v>
      </c>
      <c r="O2961" s="2" t="s">
        <v>2412</v>
      </c>
      <c r="P2961" s="2" t="s">
        <v>73</v>
      </c>
      <c r="Q2961" s="2" t="s">
        <v>2413</v>
      </c>
      <c r="R2961" s="2" t="s">
        <v>1419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3233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2414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3233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1348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3233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1569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2415</v>
      </c>
      <c r="K2964" s="2">
        <v>968647685</v>
      </c>
      <c r="L2964" s="2" t="s">
        <v>399</v>
      </c>
      <c r="M2964" s="2" t="s">
        <v>110</v>
      </c>
      <c r="O2964" s="2" t="s">
        <v>2416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3233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1421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2417</v>
      </c>
      <c r="J2965" s="2" t="s">
        <v>2418</v>
      </c>
      <c r="L2965" s="2" t="s">
        <v>202</v>
      </c>
      <c r="M2965" s="2" t="s">
        <v>81</v>
      </c>
      <c r="O2965" s="2" t="s">
        <v>2419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3233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2396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3233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3233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3233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2420</v>
      </c>
      <c r="R2969" s="2" t="s">
        <v>2421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3233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2422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3233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3233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1452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3233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2423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3233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2424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3233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1379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3213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3233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1298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1299</v>
      </c>
      <c r="L2976" s="2" t="s">
        <v>340</v>
      </c>
      <c r="M2976" s="2" t="s">
        <v>81</v>
      </c>
      <c r="O2976" s="2" t="s">
        <v>2425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3233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3203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3233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2426</v>
      </c>
      <c r="L2978" s="2" t="s">
        <v>462</v>
      </c>
      <c r="M2978" s="2" t="s">
        <v>81</v>
      </c>
      <c r="O2978" s="2" t="s">
        <v>2427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3233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3233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3233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2428</v>
      </c>
      <c r="P2981" s="2" t="s">
        <v>73</v>
      </c>
      <c r="Q2981" s="2" t="s">
        <v>2429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3233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2430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3233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2431</v>
      </c>
      <c r="P2983" s="2" t="s">
        <v>73</v>
      </c>
      <c r="Q2983" s="2" t="s">
        <v>1996</v>
      </c>
      <c r="R2983" s="2" t="s">
        <v>1419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3233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2432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3233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3233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3233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hidden="1" x14ac:dyDescent="0.2">
      <c r="A2987" s="2">
        <v>2026</v>
      </c>
      <c r="B2987" s="2">
        <v>1</v>
      </c>
      <c r="D2987" s="2" t="s">
        <v>2433</v>
      </c>
      <c r="P2987" s="2" t="s">
        <v>85</v>
      </c>
      <c r="Q2987" s="2" t="s">
        <v>2434</v>
      </c>
      <c r="R2987" s="2" t="s">
        <v>2435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3233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2436</v>
      </c>
      <c r="R2988" s="2" t="s">
        <v>2437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3233</v>
      </c>
      <c r="AA2988" s="2" t="s">
        <v>1043</v>
      </c>
      <c r="AB2988" s="2" t="s">
        <v>1273</v>
      </c>
      <c r="AC2988" s="2" t="s">
        <v>1040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2438</v>
      </c>
      <c r="M2989" s="2" t="s">
        <v>81</v>
      </c>
      <c r="P2989" s="2" t="s">
        <v>1040</v>
      </c>
      <c r="Q2989" s="2" t="s">
        <v>2439</v>
      </c>
      <c r="R2989" s="2" t="s">
        <v>2440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3233</v>
      </c>
      <c r="AA2989" s="2" t="s">
        <v>1043</v>
      </c>
      <c r="AB2989" s="2" t="s">
        <v>1321</v>
      </c>
      <c r="AC2989" s="2" t="s">
        <v>1040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2441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2442</v>
      </c>
      <c r="J2990" s="2" t="s">
        <v>2443</v>
      </c>
      <c r="L2990" s="2" t="s">
        <v>2444</v>
      </c>
      <c r="M2990" s="2" t="s">
        <v>41</v>
      </c>
      <c r="O2990" s="2" t="s">
        <v>2445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2446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hidden="1" x14ac:dyDescent="0.2">
      <c r="A2993" s="2">
        <v>2026</v>
      </c>
      <c r="B2993" s="2">
        <v>1</v>
      </c>
      <c r="D2993" s="2" t="s">
        <v>1890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hidden="1" x14ac:dyDescent="0.2">
      <c r="A2994" s="2">
        <v>2026</v>
      </c>
      <c r="B2994" s="2">
        <v>1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hidden="1" x14ac:dyDescent="0.2">
      <c r="A2995" s="2">
        <v>2026</v>
      </c>
      <c r="B2995" s="2">
        <v>4</v>
      </c>
      <c r="D2995" s="2" t="s">
        <v>943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D2996" s="2" t="s">
        <v>943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hidden="1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hidden="1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2447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334"/>
        <v>0</v>
      </c>
      <c r="AJ2999" s="2">
        <f t="shared" si="335"/>
        <v>0</v>
      </c>
      <c r="AK2999" s="2">
        <f t="shared" si="336"/>
        <v>-79</v>
      </c>
      <c r="AL2999" s="5">
        <f t="shared" si="339"/>
        <v>1</v>
      </c>
    </row>
    <row r="3000" spans="1:38" hidden="1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2447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334"/>
        <v>0</v>
      </c>
      <c r="AG3000" s="2">
        <f t="shared" ref="AG3000:AG3028" si="340">W3000</f>
        <v>0</v>
      </c>
      <c r="AJ3000" s="2">
        <f t="shared" si="335"/>
        <v>0</v>
      </c>
      <c r="AK3000" s="2">
        <f t="shared" si="336"/>
        <v>-100</v>
      </c>
    </row>
    <row r="3001" spans="1:38" hidden="1" x14ac:dyDescent="0.2">
      <c r="A3001" s="2">
        <v>2026</v>
      </c>
      <c r="B3001" s="2">
        <v>2</v>
      </c>
      <c r="D3001" s="2" t="s">
        <v>2448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2448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2449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2449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2450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2451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hidden="1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2451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2452</v>
      </c>
      <c r="F3008" s="2" t="s">
        <v>39</v>
      </c>
      <c r="G3008" s="2">
        <v>505814030</v>
      </c>
      <c r="H3008" s="2" t="s">
        <v>291</v>
      </c>
      <c r="I3008" s="2" t="s">
        <v>2453</v>
      </c>
      <c r="J3008" s="2" t="s">
        <v>2454</v>
      </c>
      <c r="L3008" s="2" t="s">
        <v>340</v>
      </c>
      <c r="M3008" s="2" t="s">
        <v>40</v>
      </c>
      <c r="O3008" s="2" t="s">
        <v>2455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2452</v>
      </c>
      <c r="F3009" s="2" t="s">
        <v>39</v>
      </c>
      <c r="G3009" s="2">
        <v>505814030</v>
      </c>
      <c r="H3009" s="2" t="s">
        <v>291</v>
      </c>
      <c r="I3009" s="2" t="s">
        <v>2453</v>
      </c>
      <c r="J3009" s="2" t="s">
        <v>2454</v>
      </c>
      <c r="L3009" s="2" t="s">
        <v>340</v>
      </c>
      <c r="M3009" s="2" t="s">
        <v>40</v>
      </c>
      <c r="O3009" s="2" t="s">
        <v>2455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hidden="1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hidden="1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hidden="1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hidden="1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hidden="1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hidden="1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hidden="1" x14ac:dyDescent="0.2">
      <c r="A3018" s="2">
        <v>2026</v>
      </c>
      <c r="B3018" s="2">
        <v>3</v>
      </c>
      <c r="D3018" s="2" t="s">
        <v>2456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hidden="1" x14ac:dyDescent="0.2">
      <c r="A3019" s="2">
        <v>2026</v>
      </c>
      <c r="B3019" s="2">
        <v>3</v>
      </c>
      <c r="D3019" s="2" t="s">
        <v>2456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hidden="1" x14ac:dyDescent="0.2">
      <c r="A3020" s="2">
        <v>2026</v>
      </c>
      <c r="B3020" s="2">
        <v>3</v>
      </c>
      <c r="D3020" s="2" t="s">
        <v>1770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hidden="1" x14ac:dyDescent="0.2">
      <c r="A3021" s="2">
        <v>2026</v>
      </c>
      <c r="B3021" s="2">
        <v>3</v>
      </c>
      <c r="D3021" s="2" t="s">
        <v>1770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hidden="1" x14ac:dyDescent="0.2">
      <c r="A3022" s="2">
        <v>2026</v>
      </c>
      <c r="B3022" s="2">
        <v>1</v>
      </c>
      <c r="D3022" s="2" t="s">
        <v>1998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hidden="1" x14ac:dyDescent="0.2">
      <c r="A3023" s="2">
        <v>2026</v>
      </c>
      <c r="B3023" s="2">
        <v>1</v>
      </c>
      <c r="D3023" s="2" t="s">
        <v>1998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hidden="1" x14ac:dyDescent="0.2">
      <c r="A3024" s="2">
        <v>2026</v>
      </c>
      <c r="B3024" s="2">
        <v>2</v>
      </c>
      <c r="D3024" s="2" t="s">
        <v>2457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2458</v>
      </c>
      <c r="J3024" s="2" t="s">
        <v>2459</v>
      </c>
      <c r="K3024" s="2">
        <v>967554174</v>
      </c>
      <c r="L3024" s="2" t="s">
        <v>134</v>
      </c>
      <c r="M3024" s="2" t="s">
        <v>40</v>
      </c>
      <c r="O3024" s="2" t="s">
        <v>2460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hidden="1" x14ac:dyDescent="0.2">
      <c r="A3025" s="2">
        <v>2026</v>
      </c>
      <c r="B3025" s="2">
        <v>2</v>
      </c>
      <c r="D3025" s="2" t="s">
        <v>2457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2458</v>
      </c>
      <c r="J3025" s="2" t="s">
        <v>2459</v>
      </c>
      <c r="K3025" s="2">
        <v>967554174</v>
      </c>
      <c r="L3025" s="2" t="s">
        <v>134</v>
      </c>
      <c r="M3025" s="2" t="s">
        <v>40</v>
      </c>
      <c r="O3025" s="2" t="s">
        <v>2460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hidden="1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2220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hidden="1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2461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hidden="1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2376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hidden="1" x14ac:dyDescent="0.2">
      <c r="A3033" s="2">
        <v>2026</v>
      </c>
      <c r="B3033" s="2">
        <v>1</v>
      </c>
      <c r="D3033" s="2" t="s">
        <v>1293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hidden="1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hidden="1" x14ac:dyDescent="0.2">
      <c r="A3035" s="2">
        <v>2026</v>
      </c>
      <c r="B3035" s="2">
        <v>1</v>
      </c>
      <c r="D3035" s="2" t="s">
        <v>2378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hidden="1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hidden="1" x14ac:dyDescent="0.2">
      <c r="A3037" s="2">
        <v>2026</v>
      </c>
      <c r="B3037" s="2">
        <v>1</v>
      </c>
      <c r="D3037" s="2" t="s">
        <v>1998</v>
      </c>
      <c r="M3037" s="2" t="s">
        <v>40</v>
      </c>
      <c r="P3037" s="2" t="s">
        <v>188</v>
      </c>
      <c r="Q3037" s="2" t="s">
        <v>1311</v>
      </c>
      <c r="R3037" s="2" t="s">
        <v>1312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1313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1883</v>
      </c>
      <c r="M3038" s="2" t="s">
        <v>40</v>
      </c>
      <c r="P3038" s="2" t="s">
        <v>188</v>
      </c>
      <c r="Q3038" s="2" t="s">
        <v>1311</v>
      </c>
      <c r="R3038" s="2" t="s">
        <v>1312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1313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hidden="1" x14ac:dyDescent="0.2">
      <c r="A3039" s="2">
        <v>2026</v>
      </c>
      <c r="B3039" s="2">
        <v>1</v>
      </c>
      <c r="D3039" s="2" t="s">
        <v>2403</v>
      </c>
      <c r="M3039" s="2" t="s">
        <v>40</v>
      </c>
      <c r="P3039" s="2" t="s">
        <v>188</v>
      </c>
      <c r="Q3039" s="2" t="s">
        <v>1311</v>
      </c>
      <c r="R3039" s="2" t="s">
        <v>1312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1313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hidden="1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1311</v>
      </c>
      <c r="R3040" s="2" t="s">
        <v>1312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1313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2462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3233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2404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3233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hidden="1" x14ac:dyDescent="0.2">
      <c r="A3043" s="2">
        <v>2026</v>
      </c>
      <c r="B3043" s="2">
        <v>1</v>
      </c>
      <c r="D3043" s="2" t="s">
        <v>2397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3233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3233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3233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2423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3233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hidden="1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2422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3233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2432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3233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hidden="1" x14ac:dyDescent="0.2">
      <c r="A3049" s="2">
        <v>2026</v>
      </c>
      <c r="B3049" s="2">
        <v>1</v>
      </c>
      <c r="D3049" s="2" t="s">
        <v>2014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3233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hidden="1" x14ac:dyDescent="0.2">
      <c r="A3050" s="2">
        <v>2026</v>
      </c>
      <c r="B3050" s="2">
        <v>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3233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hidden="1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2463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3233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hidden="1" x14ac:dyDescent="0.2">
      <c r="A3052" s="2">
        <v>2026</v>
      </c>
      <c r="B3052" s="2">
        <v>1</v>
      </c>
      <c r="D3052" s="2" t="s">
        <v>1558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1559</v>
      </c>
      <c r="J3052" s="2" t="s">
        <v>1560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3233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hidden="1" x14ac:dyDescent="0.2">
      <c r="A3053" s="2">
        <v>2026</v>
      </c>
      <c r="B3053" s="2">
        <v>1</v>
      </c>
      <c r="D3053" s="2" t="s">
        <v>1379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3233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hidden="1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2398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3233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hidden="1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3233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hidden="1" x14ac:dyDescent="0.2">
      <c r="A3056" s="2">
        <v>2026</v>
      </c>
      <c r="B3056" s="2">
        <v>1</v>
      </c>
      <c r="D3056" s="2" t="s">
        <v>1569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3233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hidden="1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3233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hidden="1" x14ac:dyDescent="0.2">
      <c r="A3058" s="2">
        <v>2026</v>
      </c>
      <c r="B3058" s="2">
        <v>1</v>
      </c>
      <c r="D3058" s="2" t="s">
        <v>1598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1599</v>
      </c>
      <c r="J3058" s="2" t="s">
        <v>1600</v>
      </c>
      <c r="L3058" s="2" t="s">
        <v>202</v>
      </c>
      <c r="M3058" s="2" t="s">
        <v>81</v>
      </c>
      <c r="O3058" s="2" t="s">
        <v>2399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3233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hidden="1" x14ac:dyDescent="0.2">
      <c r="A3059" s="2">
        <v>2026</v>
      </c>
      <c r="B3059" s="2">
        <v>1</v>
      </c>
      <c r="D3059" s="2" t="s">
        <v>2409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3233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hidden="1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3233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hidden="1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3233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hidden="1" x14ac:dyDescent="0.2">
      <c r="A3062" s="2">
        <v>2026</v>
      </c>
      <c r="B3062" s="2">
        <v>1</v>
      </c>
      <c r="D3062" s="2" t="s">
        <v>1421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2417</v>
      </c>
      <c r="J3062" s="2" t="s">
        <v>2418</v>
      </c>
      <c r="L3062" s="2" t="s">
        <v>202</v>
      </c>
      <c r="M3062" s="2" t="s">
        <v>81</v>
      </c>
      <c r="O3062" s="2" t="s">
        <v>2419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3233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hidden="1" x14ac:dyDescent="0.2">
      <c r="A3063" s="2">
        <v>2026</v>
      </c>
      <c r="B3063" s="2">
        <v>1</v>
      </c>
      <c r="D3063" s="2" t="s">
        <v>1422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1275</v>
      </c>
      <c r="J3063" s="2" t="s">
        <v>2400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3233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hidden="1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2401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3233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hidden="1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3233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hidden="1" x14ac:dyDescent="0.2">
      <c r="A3066" s="2">
        <v>2026</v>
      </c>
      <c r="B3066" s="2">
        <v>1</v>
      </c>
      <c r="D3066" s="2" t="s">
        <v>2402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3233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hidden="1" x14ac:dyDescent="0.2">
      <c r="A3067" s="2">
        <v>2026</v>
      </c>
      <c r="B3067" s="2">
        <v>1</v>
      </c>
      <c r="D3067" s="2" t="s">
        <v>1948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3233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hidden="1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3233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hidden="1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3233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1298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1299</v>
      </c>
      <c r="L3070" s="2" t="s">
        <v>340</v>
      </c>
      <c r="M3070" s="2" t="s">
        <v>81</v>
      </c>
      <c r="O3070" s="2" t="s">
        <v>2425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3233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hidden="1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3233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hidden="1" x14ac:dyDescent="0.2">
      <c r="A3072" s="2">
        <v>2026</v>
      </c>
      <c r="B3072" s="2">
        <v>1</v>
      </c>
      <c r="D3072" s="2" t="s">
        <v>2403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3233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hidden="1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2431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3233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hidden="1" x14ac:dyDescent="0.2">
      <c r="A3074" s="2">
        <v>2026</v>
      </c>
      <c r="B3074" s="2">
        <v>1</v>
      </c>
      <c r="D3074" s="2" t="s">
        <v>1890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hidden="1" x14ac:dyDescent="0.2">
      <c r="A3075" s="2">
        <v>2026</v>
      </c>
      <c r="B3075" s="2">
        <v>1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hidden="1" x14ac:dyDescent="0.2">
      <c r="A3076" s="2">
        <v>2026</v>
      </c>
      <c r="B3076" s="2">
        <v>1</v>
      </c>
      <c r="D3076" s="2" t="s">
        <v>2339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3388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hidden="1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2310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hidden="1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2464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3233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hidden="1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2465</v>
      </c>
      <c r="P3079" s="2" t="s">
        <v>115</v>
      </c>
      <c r="Q3079" s="2" t="s">
        <v>2231</v>
      </c>
      <c r="R3079" s="2" t="s">
        <v>2232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2457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2458</v>
      </c>
      <c r="J3080" s="2" t="s">
        <v>2459</v>
      </c>
      <c r="K3080" s="2">
        <v>967554174</v>
      </c>
      <c r="L3080" s="2" t="s">
        <v>134</v>
      </c>
      <c r="M3080" s="2" t="s">
        <v>40</v>
      </c>
      <c r="O3080" s="2" t="s">
        <v>2460</v>
      </c>
      <c r="P3080" s="2" t="s">
        <v>115</v>
      </c>
      <c r="Q3080" s="2" t="s">
        <v>2303</v>
      </c>
      <c r="R3080" s="2" t="s">
        <v>2304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2466</v>
      </c>
      <c r="P3081" s="2" t="s">
        <v>115</v>
      </c>
      <c r="Q3081" s="2" t="s">
        <v>2222</v>
      </c>
      <c r="R3081" s="2" t="s">
        <v>1432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2457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2458</v>
      </c>
      <c r="J3082" s="2" t="s">
        <v>2459</v>
      </c>
      <c r="K3082" s="2">
        <v>967554174</v>
      </c>
      <c r="L3082" s="2" t="s">
        <v>134</v>
      </c>
      <c r="M3082" s="2" t="s">
        <v>40</v>
      </c>
      <c r="O3082" s="2" t="s">
        <v>2460</v>
      </c>
      <c r="P3082" s="2" t="s">
        <v>115</v>
      </c>
      <c r="Q3082" s="2" t="s">
        <v>2467</v>
      </c>
      <c r="R3082" s="2" t="s">
        <v>2468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2457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2458</v>
      </c>
      <c r="J3083" s="2" t="s">
        <v>2459</v>
      </c>
      <c r="K3083" s="2">
        <v>967554174</v>
      </c>
      <c r="L3083" s="2" t="s">
        <v>134</v>
      </c>
      <c r="M3083" s="2" t="s">
        <v>40</v>
      </c>
      <c r="O3083" s="2" t="s">
        <v>2460</v>
      </c>
      <c r="P3083" s="2" t="s">
        <v>115</v>
      </c>
      <c r="Q3083" s="2" t="s">
        <v>1377</v>
      </c>
      <c r="R3083" s="2" t="s">
        <v>1378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2469</v>
      </c>
      <c r="P3084" s="2" t="s">
        <v>115</v>
      </c>
      <c r="Q3084" s="2" t="s">
        <v>2199</v>
      </c>
      <c r="R3084" s="2" t="s">
        <v>2200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2449</v>
      </c>
      <c r="P3085" s="2" t="s">
        <v>115</v>
      </c>
      <c r="Q3085" s="2" t="s">
        <v>1519</v>
      </c>
      <c r="R3085" s="2" t="s">
        <v>1520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2482</v>
      </c>
      <c r="J3086" s="2" t="s">
        <v>3129</v>
      </c>
      <c r="K3086" s="2">
        <v>965864665</v>
      </c>
      <c r="L3086" s="2" t="s">
        <v>345</v>
      </c>
      <c r="M3086" s="2" t="s">
        <v>40</v>
      </c>
      <c r="O3086" s="2" t="s">
        <v>2483</v>
      </c>
      <c r="P3086" s="2" t="s">
        <v>115</v>
      </c>
      <c r="Q3086" s="2" t="s">
        <v>1519</v>
      </c>
      <c r="R3086" s="2" t="s">
        <v>1520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2470</v>
      </c>
      <c r="P3087" s="2" t="s">
        <v>115</v>
      </c>
      <c r="Q3087" s="2" t="s">
        <v>2471</v>
      </c>
      <c r="R3087" s="2" t="s">
        <v>2472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2473</v>
      </c>
      <c r="P3088" s="2" t="s">
        <v>115</v>
      </c>
      <c r="Q3088" s="2" t="s">
        <v>2474</v>
      </c>
      <c r="R3088" s="2" t="s">
        <v>2475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2476</v>
      </c>
      <c r="P3089" s="2" t="s">
        <v>115</v>
      </c>
      <c r="Q3089" s="2" t="s">
        <v>2477</v>
      </c>
      <c r="R3089" s="2" t="s">
        <v>2478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2479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hidden="1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2480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3121</v>
      </c>
      <c r="J3092" s="2" t="s">
        <v>3122</v>
      </c>
      <c r="L3092" s="2" t="s">
        <v>113</v>
      </c>
      <c r="M3092" s="2" t="s">
        <v>40</v>
      </c>
      <c r="O3092" s="2" t="s">
        <v>2481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2469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2482</v>
      </c>
      <c r="J3094" s="2" t="s">
        <v>3129</v>
      </c>
      <c r="K3094" s="2">
        <v>965864665</v>
      </c>
      <c r="L3094" s="2" t="s">
        <v>345</v>
      </c>
      <c r="M3094" s="2" t="s">
        <v>40</v>
      </c>
      <c r="O3094" s="2" t="s">
        <v>2483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2484</v>
      </c>
      <c r="J3095" s="2" t="s">
        <v>1476</v>
      </c>
      <c r="K3095" s="2">
        <v>938183284</v>
      </c>
      <c r="L3095" s="2" t="s">
        <v>134</v>
      </c>
      <c r="M3095" s="2" t="s">
        <v>40</v>
      </c>
      <c r="O3095" s="2" t="s">
        <v>2485</v>
      </c>
      <c r="P3095" s="2" t="s">
        <v>115</v>
      </c>
      <c r="Q3095" s="2" t="s">
        <v>2486</v>
      </c>
      <c r="R3095" s="2" t="s">
        <v>1390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2476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2293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2294</v>
      </c>
      <c r="L3097" s="2" t="s">
        <v>202</v>
      </c>
      <c r="M3097" s="2" t="s">
        <v>40</v>
      </c>
      <c r="O3097" s="2" t="s">
        <v>2295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2296</v>
      </c>
      <c r="E3098" s="2" t="s">
        <v>38</v>
      </c>
      <c r="G3098" s="2">
        <v>509800696</v>
      </c>
      <c r="H3098" s="2" t="s">
        <v>291</v>
      </c>
      <c r="I3098" s="2" t="s">
        <v>2297</v>
      </c>
      <c r="J3098" s="2" t="s">
        <v>2298</v>
      </c>
      <c r="K3098" s="2">
        <v>930444437</v>
      </c>
      <c r="L3098" s="2" t="s">
        <v>2297</v>
      </c>
      <c r="M3098" s="2" t="s">
        <v>40</v>
      </c>
      <c r="O3098" s="2" t="s">
        <v>2299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2333</v>
      </c>
      <c r="I3099" s="2" t="s">
        <v>805</v>
      </c>
      <c r="L3099" s="2" t="s">
        <v>100</v>
      </c>
      <c r="M3099" s="2" t="s">
        <v>40</v>
      </c>
      <c r="O3099" s="2" t="s">
        <v>2487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hidden="1" x14ac:dyDescent="0.2">
      <c r="A3100" s="2">
        <v>2026</v>
      </c>
      <c r="B3100" s="2">
        <v>2</v>
      </c>
      <c r="D3100" s="2" t="s">
        <v>2488</v>
      </c>
      <c r="M3100" s="2" t="s">
        <v>40</v>
      </c>
      <c r="O3100" s="2" t="s">
        <v>2489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2490</v>
      </c>
      <c r="P3101" s="2" t="s">
        <v>115</v>
      </c>
      <c r="Q3101" s="2" t="s">
        <v>1427</v>
      </c>
      <c r="R3101" s="2" t="s">
        <v>1428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2491</v>
      </c>
      <c r="P3102" s="2" t="s">
        <v>115</v>
      </c>
      <c r="Q3102" s="2" t="s">
        <v>2492</v>
      </c>
      <c r="R3102" s="2" t="s">
        <v>2493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2494</v>
      </c>
      <c r="P3103" s="2" t="s">
        <v>115</v>
      </c>
      <c r="Q3103" s="2" t="s">
        <v>2495</v>
      </c>
      <c r="R3103" s="2" t="s">
        <v>2496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2497</v>
      </c>
      <c r="M3104" s="2" t="s">
        <v>40</v>
      </c>
      <c r="O3104" s="2" t="s">
        <v>2498</v>
      </c>
      <c r="P3104" s="2" t="s">
        <v>115</v>
      </c>
      <c r="Q3104" s="2" t="s">
        <v>2499</v>
      </c>
      <c r="R3104" s="2" t="s">
        <v>2500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2501</v>
      </c>
      <c r="R3105" s="2" t="s">
        <v>2502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hidden="1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1335</v>
      </c>
      <c r="R3106" s="2" t="s">
        <v>1336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hidden="1" x14ac:dyDescent="0.2">
      <c r="A3107" s="2">
        <v>2026</v>
      </c>
      <c r="B3107" s="2">
        <v>2</v>
      </c>
      <c r="D3107" s="2" t="s">
        <v>2448</v>
      </c>
      <c r="P3107" s="2" t="s">
        <v>115</v>
      </c>
      <c r="Q3107" s="2" t="s">
        <v>2503</v>
      </c>
      <c r="R3107" s="2" t="s">
        <v>2504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hidden="1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2505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1527</v>
      </c>
      <c r="R3110" s="2" t="s">
        <v>1528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hidden="1" x14ac:dyDescent="0.2">
      <c r="A3111" s="2">
        <v>2026</v>
      </c>
      <c r="B3111" s="2">
        <v>2</v>
      </c>
      <c r="D3111" s="2" t="s">
        <v>1357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2506</v>
      </c>
      <c r="J3111" s="2" t="s">
        <v>2507</v>
      </c>
      <c r="L3111" s="2" t="s">
        <v>294</v>
      </c>
      <c r="P3111" s="2" t="s">
        <v>115</v>
      </c>
      <c r="Q3111" s="2" t="s">
        <v>2508</v>
      </c>
      <c r="R3111" s="2" t="s">
        <v>2509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hidden="1" x14ac:dyDescent="0.2">
      <c r="A3112" s="2">
        <v>2026</v>
      </c>
      <c r="B3112" s="2">
        <v>2</v>
      </c>
      <c r="C3112" s="2" t="s">
        <v>3328</v>
      </c>
      <c r="D3112" s="2" t="s">
        <v>3250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2510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hidden="1" x14ac:dyDescent="0.2">
      <c r="A3113" s="2">
        <v>2026</v>
      </c>
      <c r="B3113" s="2">
        <v>2</v>
      </c>
      <c r="C3113" s="2" t="s">
        <v>3328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3249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2511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3251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2512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3252</v>
      </c>
      <c r="J3116" s="2" t="s">
        <v>3253</v>
      </c>
      <c r="K3116" s="2">
        <v>96179412</v>
      </c>
      <c r="L3116" s="2" t="s">
        <v>462</v>
      </c>
      <c r="M3116" s="2" t="s">
        <v>110</v>
      </c>
      <c r="O3116" s="2" t="s">
        <v>3254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2513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2514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3251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2512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1583</v>
      </c>
      <c r="R3119" s="2" t="s">
        <v>1584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2482</v>
      </c>
      <c r="J3120" s="2" t="s">
        <v>3129</v>
      </c>
      <c r="K3120" s="2">
        <v>965864665</v>
      </c>
      <c r="L3120" s="2" t="s">
        <v>345</v>
      </c>
      <c r="M3120" s="2" t="s">
        <v>40</v>
      </c>
      <c r="O3120" s="2" t="s">
        <v>2483</v>
      </c>
      <c r="P3120" s="2" t="s">
        <v>1609</v>
      </c>
      <c r="Q3120" s="2" t="s">
        <v>1772</v>
      </c>
      <c r="R3120" s="2" t="s">
        <v>1773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1609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2515</v>
      </c>
      <c r="P3121" s="2" t="s">
        <v>1609</v>
      </c>
      <c r="Q3121" s="2" t="s">
        <v>1772</v>
      </c>
      <c r="R3121" s="2" t="s">
        <v>1773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1609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1609</v>
      </c>
      <c r="Q3122" s="2" t="s">
        <v>1607</v>
      </c>
      <c r="R3122" s="2" t="s">
        <v>1608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1609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3420</v>
      </c>
      <c r="D3123" s="2" t="s">
        <v>2516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2517</v>
      </c>
      <c r="R3123" s="2" t="s">
        <v>2518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3233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3420</v>
      </c>
      <c r="D3124" s="2" t="s">
        <v>2516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3233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2519</v>
      </c>
      <c r="M3125" s="2" t="s">
        <v>110</v>
      </c>
      <c r="P3125" s="2" t="s">
        <v>283</v>
      </c>
      <c r="Q3125" s="2" t="s">
        <v>2520</v>
      </c>
      <c r="R3125" s="2" t="s">
        <v>2521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2522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2523</v>
      </c>
      <c r="J3126" s="2" t="s">
        <v>2524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1552</v>
      </c>
      <c r="R3126" s="2" t="s">
        <v>1553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1580</v>
      </c>
      <c r="E3127" s="2" t="s">
        <v>38</v>
      </c>
      <c r="G3127" s="2">
        <v>505123177</v>
      </c>
      <c r="H3127" s="2" t="s">
        <v>110</v>
      </c>
      <c r="I3127" s="2" t="s">
        <v>2525</v>
      </c>
      <c r="J3127" s="2" t="s">
        <v>2526</v>
      </c>
      <c r="L3127" s="2" t="s">
        <v>399</v>
      </c>
      <c r="M3127" s="2" t="s">
        <v>110</v>
      </c>
      <c r="P3127" s="2" t="s">
        <v>283</v>
      </c>
      <c r="Q3127" s="2" t="s">
        <v>1552</v>
      </c>
      <c r="R3127" s="2" t="s">
        <v>1553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2527</v>
      </c>
      <c r="E3128" s="2" t="s">
        <v>38</v>
      </c>
      <c r="G3128" s="2">
        <v>259186163</v>
      </c>
      <c r="H3128" s="2" t="s">
        <v>110</v>
      </c>
      <c r="I3128" s="2" t="s">
        <v>2528</v>
      </c>
      <c r="J3128" s="2" t="s">
        <v>2529</v>
      </c>
      <c r="L3128" s="2" t="s">
        <v>462</v>
      </c>
      <c r="M3128" s="2" t="s">
        <v>110</v>
      </c>
      <c r="P3128" s="2" t="s">
        <v>283</v>
      </c>
      <c r="Q3128" s="2" t="s">
        <v>1552</v>
      </c>
      <c r="R3128" s="2" t="s">
        <v>1553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2522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2523</v>
      </c>
      <c r="J3129" s="2" t="s">
        <v>2524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3233</v>
      </c>
      <c r="AA3129" s="2" t="s">
        <v>46</v>
      </c>
      <c r="AB3129" s="2" t="s">
        <v>61</v>
      </c>
      <c r="AC3129" s="2" t="s">
        <v>3339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1580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X3130" s="18">
        <v>-1</v>
      </c>
      <c r="Z3130" s="2" t="s">
        <v>3233</v>
      </c>
      <c r="AA3130" s="2" t="s">
        <v>46</v>
      </c>
      <c r="AB3130" s="2" t="s">
        <v>61</v>
      </c>
      <c r="AC3130" s="2" t="s">
        <v>3339</v>
      </c>
      <c r="AF3130" s="2">
        <f t="shared" si="353"/>
        <v>0</v>
      </c>
      <c r="AJ3130" s="2">
        <f t="shared" si="354"/>
        <v>0</v>
      </c>
      <c r="AK3130" s="2">
        <f t="shared" si="360"/>
        <v>-14.5099</v>
      </c>
      <c r="AL3130" s="18">
        <v>-1</v>
      </c>
    </row>
    <row r="3131" spans="1:38" hidden="1" x14ac:dyDescent="0.2">
      <c r="A3131" s="2">
        <v>2026</v>
      </c>
      <c r="B3131" s="2">
        <v>2</v>
      </c>
      <c r="D3131" s="2" t="s">
        <v>2527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3233</v>
      </c>
      <c r="AA3131" s="2" t="s">
        <v>46</v>
      </c>
      <c r="AB3131" s="2" t="s">
        <v>61</v>
      </c>
      <c r="AC3131" s="2" t="s">
        <v>3339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2522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2523</v>
      </c>
      <c r="J3132" s="2" t="s">
        <v>2524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3233</v>
      </c>
      <c r="AA3132" s="2" t="s">
        <v>46</v>
      </c>
      <c r="AB3132" s="2" t="s">
        <v>61</v>
      </c>
      <c r="AC3132" s="2" t="s">
        <v>3339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1580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3233</v>
      </c>
      <c r="AA3133" s="2" t="s">
        <v>46</v>
      </c>
      <c r="AB3133" s="2" t="s">
        <v>61</v>
      </c>
      <c r="AC3133" s="2" t="s">
        <v>3339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2527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3233</v>
      </c>
      <c r="AA3134" s="2" t="s">
        <v>46</v>
      </c>
      <c r="AB3134" s="2" t="s">
        <v>61</v>
      </c>
      <c r="AC3134" s="2" t="s">
        <v>3339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2530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3233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3233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1559</v>
      </c>
      <c r="J3137" s="2" t="s">
        <v>2531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3233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1400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3223</v>
      </c>
      <c r="J3138" s="2" t="s">
        <v>3222</v>
      </c>
      <c r="K3138" s="2">
        <v>913814877</v>
      </c>
      <c r="L3138" s="2" t="s">
        <v>202</v>
      </c>
      <c r="M3138" s="2" t="s">
        <v>81</v>
      </c>
      <c r="O3138" s="2" t="s">
        <v>3219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3233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3140</v>
      </c>
      <c r="L3139" s="2" t="s">
        <v>178</v>
      </c>
      <c r="M3139" s="2" t="s">
        <v>41</v>
      </c>
      <c r="O3139" s="2" t="s">
        <v>3147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3233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2532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3233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3233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1907</v>
      </c>
      <c r="P3142" s="2" t="s">
        <v>43</v>
      </c>
      <c r="Q3142" s="2" t="s">
        <v>1366</v>
      </c>
      <c r="R3142" s="2" t="s">
        <v>1367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3233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hidden="1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1366</v>
      </c>
      <c r="R3143" s="2" t="s">
        <v>1367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3233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hidden="1" x14ac:dyDescent="0.2">
      <c r="A3144" s="2">
        <v>2026</v>
      </c>
      <c r="B3144" s="2">
        <v>2</v>
      </c>
      <c r="D3144" s="2" t="s">
        <v>1907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3233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hidden="1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3233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hidden="1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2533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3233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2422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3233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hidden="1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3233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2422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3233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hidden="1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3233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2422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3233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hidden="1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3233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hidden="1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2534</v>
      </c>
      <c r="P3153" s="2" t="s">
        <v>115</v>
      </c>
      <c r="Q3153" s="2" t="s">
        <v>2535</v>
      </c>
      <c r="R3153" s="2" t="s">
        <v>2536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3233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hidden="1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3233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3233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hidden="1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3233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2447</v>
      </c>
      <c r="P3158" s="2" t="s">
        <v>115</v>
      </c>
      <c r="Q3158" s="2" t="s">
        <v>2105</v>
      </c>
      <c r="R3158" s="2" t="s">
        <v>2106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hidden="1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3233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hidden="1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3233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3233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3121</v>
      </c>
      <c r="J3162" s="2" t="s">
        <v>3122</v>
      </c>
      <c r="L3162" s="2" t="s">
        <v>113</v>
      </c>
      <c r="M3162" s="2" t="s">
        <v>110</v>
      </c>
      <c r="O3162" s="2" t="s">
        <v>3125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3233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2537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3233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3233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1559</v>
      </c>
      <c r="J3165" s="2" t="s">
        <v>2531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3233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1559</v>
      </c>
      <c r="J3166" s="2" t="s">
        <v>2531</v>
      </c>
      <c r="L3166" s="2" t="s">
        <v>178</v>
      </c>
      <c r="M3166" s="2" t="s">
        <v>41</v>
      </c>
      <c r="O3166" s="2" t="s">
        <v>2538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3233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2539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3233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3233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3233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3233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2540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3233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1559</v>
      </c>
      <c r="J3172" s="2" t="s">
        <v>2531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3233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3233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1315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1316</v>
      </c>
      <c r="L3174" s="2" t="s">
        <v>178</v>
      </c>
      <c r="M3174" s="2" t="s">
        <v>41</v>
      </c>
      <c r="O3174" s="2" t="s">
        <v>2541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3233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2540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3233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hidden="1" x14ac:dyDescent="0.2">
      <c r="A3176" s="2">
        <v>2026</v>
      </c>
      <c r="B3176" s="2">
        <v>2</v>
      </c>
      <c r="D3176" s="2" t="s">
        <v>1315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1316</v>
      </c>
      <c r="L3176" s="2" t="s">
        <v>178</v>
      </c>
      <c r="M3176" s="2" t="s">
        <v>41</v>
      </c>
      <c r="O3176" s="2" t="s">
        <v>2541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3233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hidden="1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1559</v>
      </c>
      <c r="J3177" s="2" t="s">
        <v>2531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3233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1559</v>
      </c>
      <c r="J3178" s="2" t="s">
        <v>2531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3233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2542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3233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2543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3233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2527</v>
      </c>
      <c r="M3181" s="2" t="s">
        <v>110</v>
      </c>
      <c r="P3181" s="2" t="s">
        <v>43</v>
      </c>
      <c r="Q3181" s="2" t="s">
        <v>2384</v>
      </c>
      <c r="R3181" s="2" t="s">
        <v>2385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3233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hidden="1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2544</v>
      </c>
      <c r="L3182" s="2" t="s">
        <v>100</v>
      </c>
      <c r="M3182" s="2" t="s">
        <v>81</v>
      </c>
      <c r="O3182" s="2" t="s">
        <v>2545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3233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3233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2537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3233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3233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3307</v>
      </c>
      <c r="D3186" s="2" t="s">
        <v>1375</v>
      </c>
      <c r="E3186" s="2" t="s">
        <v>38</v>
      </c>
      <c r="F3186" s="2" t="s">
        <v>39</v>
      </c>
      <c r="I3186" s="2" t="s">
        <v>3306</v>
      </c>
      <c r="L3186" s="2" t="s">
        <v>134</v>
      </c>
      <c r="M3186" s="2" t="s">
        <v>2546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3233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2544</v>
      </c>
      <c r="L3187" s="2" t="s">
        <v>100</v>
      </c>
      <c r="M3187" s="2" t="s">
        <v>81</v>
      </c>
      <c r="O3187" s="2" t="s">
        <v>2545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3233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3233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2547</v>
      </c>
      <c r="P3190" s="2" t="s">
        <v>43</v>
      </c>
      <c r="Q3190" s="2" t="s">
        <v>2548</v>
      </c>
      <c r="R3190" s="2" t="s">
        <v>2549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3233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2550</v>
      </c>
      <c r="R3191" s="2" t="s">
        <v>2551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3233</v>
      </c>
      <c r="AA3191" s="2" t="s">
        <v>72</v>
      </c>
      <c r="AB3191" s="2" t="s">
        <v>69</v>
      </c>
      <c r="AC3191" s="2" t="s">
        <v>3238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2552</v>
      </c>
      <c r="R3192" s="2" t="s">
        <v>2553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3233</v>
      </c>
      <c r="AA3192" s="2" t="s">
        <v>72</v>
      </c>
      <c r="AB3192" s="2" t="s">
        <v>69</v>
      </c>
      <c r="AC3192" s="2" t="s">
        <v>3238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2554</v>
      </c>
      <c r="R3193" s="2" t="s">
        <v>2555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3233</v>
      </c>
      <c r="AA3193" s="2" t="s">
        <v>72</v>
      </c>
      <c r="AB3193" s="2" t="s">
        <v>69</v>
      </c>
      <c r="AC3193" s="2" t="s">
        <v>3238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1489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3233</v>
      </c>
      <c r="AA3194" s="2" t="s">
        <v>72</v>
      </c>
      <c r="AB3194" s="2" t="s">
        <v>69</v>
      </c>
      <c r="AC3194" s="2" t="s">
        <v>3238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2522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2523</v>
      </c>
      <c r="J3195" s="2" t="s">
        <v>2524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2556</v>
      </c>
      <c r="R3195" s="2" t="s">
        <v>2557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3238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2522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2523</v>
      </c>
      <c r="J3196" s="2" t="s">
        <v>2524</v>
      </c>
      <c r="K3196" s="2">
        <v>967032538</v>
      </c>
      <c r="L3196" s="2" t="s">
        <v>399</v>
      </c>
      <c r="M3196" s="2" t="s">
        <v>110</v>
      </c>
      <c r="O3196" s="2" t="s">
        <v>2558</v>
      </c>
      <c r="P3196" s="2" t="s">
        <v>69</v>
      </c>
      <c r="Q3196" s="2" t="s">
        <v>2559</v>
      </c>
      <c r="R3196" s="2" t="s">
        <v>2560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3238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1791</v>
      </c>
      <c r="M3197" s="2" t="s">
        <v>110</v>
      </c>
      <c r="O3197" s="2" t="s">
        <v>2561</v>
      </c>
      <c r="P3197" s="2" t="s">
        <v>69</v>
      </c>
      <c r="Q3197" s="2" t="s">
        <v>2559</v>
      </c>
      <c r="R3197" s="2" t="s">
        <v>2560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3238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2562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3233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2543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3233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2563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3233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2000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3233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1558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1559</v>
      </c>
      <c r="J3202" s="2" t="s">
        <v>1560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3233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1379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3233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2564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3233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2565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3233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1598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1599</v>
      </c>
      <c r="J3206" s="2" t="s">
        <v>1600</v>
      </c>
      <c r="L3206" s="2" t="s">
        <v>202</v>
      </c>
      <c r="M3206" s="2" t="s">
        <v>81</v>
      </c>
      <c r="O3206" s="2" t="s">
        <v>2566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3233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2567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3233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2568</v>
      </c>
      <c r="J3208" s="2" t="s">
        <v>2569</v>
      </c>
      <c r="K3208" s="2">
        <v>912897776</v>
      </c>
      <c r="L3208" s="2" t="s">
        <v>340</v>
      </c>
      <c r="M3208" s="2" t="s">
        <v>81</v>
      </c>
      <c r="O3208" s="2" t="s">
        <v>2570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3233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1259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2571</v>
      </c>
      <c r="L3209" s="2" t="s">
        <v>202</v>
      </c>
      <c r="M3209" s="2" t="s">
        <v>81</v>
      </c>
      <c r="O3209" s="2" t="s">
        <v>2572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3233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1451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3233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2573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2574</v>
      </c>
      <c r="J3211" s="2" t="s">
        <v>2575</v>
      </c>
      <c r="L3211" s="2" t="s">
        <v>134</v>
      </c>
      <c r="M3211" s="2" t="s">
        <v>81</v>
      </c>
      <c r="O3211" s="2" t="s">
        <v>2576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3233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2573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3233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2577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3233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2578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3233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2447</v>
      </c>
      <c r="P3215" s="2" t="s">
        <v>115</v>
      </c>
      <c r="Q3215" s="2" t="s">
        <v>1427</v>
      </c>
      <c r="R3215" s="2" t="s">
        <v>1428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hidden="1" x14ac:dyDescent="0.2">
      <c r="A3216" s="2">
        <v>2026</v>
      </c>
      <c r="B3216" s="2">
        <v>2</v>
      </c>
      <c r="D3216" s="2" t="s">
        <v>1259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3233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2579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3233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2580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3233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2000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3233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3233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2581</v>
      </c>
      <c r="P3221" s="2" t="s">
        <v>73</v>
      </c>
      <c r="Q3221" s="2" t="s">
        <v>2582</v>
      </c>
      <c r="R3221" s="2" t="s">
        <v>2583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3233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hidden="1" x14ac:dyDescent="0.2">
      <c r="A3222" s="2">
        <v>2026</v>
      </c>
      <c r="B3222" s="2">
        <v>2</v>
      </c>
      <c r="D3222" s="2" t="s">
        <v>2584</v>
      </c>
      <c r="E3222" s="2" t="s">
        <v>184</v>
      </c>
      <c r="F3222" s="2" t="s">
        <v>2585</v>
      </c>
      <c r="G3222" s="2">
        <v>515259144</v>
      </c>
      <c r="H3222" s="2" t="s">
        <v>81</v>
      </c>
      <c r="I3222" s="2" t="s">
        <v>157</v>
      </c>
      <c r="J3222" s="2" t="s">
        <v>2586</v>
      </c>
      <c r="K3222" s="2">
        <v>968626165</v>
      </c>
      <c r="L3222" s="2" t="s">
        <v>100</v>
      </c>
      <c r="M3222" s="2" t="s">
        <v>81</v>
      </c>
      <c r="O3222" s="2" t="s">
        <v>2587</v>
      </c>
      <c r="P3222" s="2" t="s">
        <v>1040</v>
      </c>
      <c r="Q3222" s="2" t="s">
        <v>1959</v>
      </c>
      <c r="R3222" s="2" t="s">
        <v>1960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3233</v>
      </c>
      <c r="AA3222" s="2" t="s">
        <v>76</v>
      </c>
      <c r="AB3222" s="2" t="s">
        <v>77</v>
      </c>
      <c r="AC3222" s="2" t="s">
        <v>1040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2588</v>
      </c>
      <c r="R3223" s="2" t="s">
        <v>2589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3233</v>
      </c>
      <c r="AA3223" s="2" t="s">
        <v>76</v>
      </c>
      <c r="AB3223" s="2" t="s">
        <v>77</v>
      </c>
      <c r="AC3223" s="2" t="s">
        <v>1040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3328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2590</v>
      </c>
      <c r="R3224" s="2" t="s">
        <v>2591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3233</v>
      </c>
      <c r="AA3224" s="2" t="s">
        <v>76</v>
      </c>
      <c r="AB3224" s="2" t="s">
        <v>77</v>
      </c>
      <c r="AC3224" s="2" t="s">
        <v>1040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3233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3233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2592</v>
      </c>
      <c r="P3227" s="2" t="s">
        <v>85</v>
      </c>
      <c r="Q3227" s="2" t="s">
        <v>2593</v>
      </c>
      <c r="R3227" s="2" t="s">
        <v>2594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3233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hidden="1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2595</v>
      </c>
      <c r="P3228" s="2" t="s">
        <v>1196</v>
      </c>
      <c r="Q3228" s="2" t="s">
        <v>2596</v>
      </c>
      <c r="R3228" s="2" t="s">
        <v>2597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hidden="1" x14ac:dyDescent="0.2">
      <c r="A3229" s="2">
        <v>2026</v>
      </c>
      <c r="B3229" s="2">
        <v>2</v>
      </c>
      <c r="D3229" s="2" t="s">
        <v>1791</v>
      </c>
      <c r="O3229" s="2" t="s">
        <v>2598</v>
      </c>
      <c r="P3229" s="2" t="s">
        <v>3403</v>
      </c>
      <c r="Q3229" s="2" t="s">
        <v>2599</v>
      </c>
      <c r="R3229" s="2" t="s">
        <v>2600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3403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2522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2523</v>
      </c>
      <c r="J3230" s="2" t="s">
        <v>2524</v>
      </c>
      <c r="K3230" s="2">
        <v>967032538</v>
      </c>
      <c r="L3230" s="2" t="s">
        <v>399</v>
      </c>
      <c r="M3230" s="2" t="s">
        <v>110</v>
      </c>
      <c r="O3230" s="2" t="s">
        <v>2558</v>
      </c>
      <c r="P3230" s="2" t="s">
        <v>3403</v>
      </c>
      <c r="Q3230" s="2" t="s">
        <v>2601</v>
      </c>
      <c r="R3230" s="2" t="s">
        <v>2602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3403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2603</v>
      </c>
      <c r="M3231" s="2" t="s">
        <v>81</v>
      </c>
      <c r="P3231" s="2" t="s">
        <v>1040</v>
      </c>
      <c r="Q3231" s="2" t="s">
        <v>1930</v>
      </c>
      <c r="R3231" s="2" t="s">
        <v>1931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3233</v>
      </c>
      <c r="AA3231" s="2" t="s">
        <v>1043</v>
      </c>
      <c r="AB3231" s="2" t="s">
        <v>1273</v>
      </c>
      <c r="AC3231" s="2" t="s">
        <v>1040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2604</v>
      </c>
      <c r="R3232" s="2" t="s">
        <v>2605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3233</v>
      </c>
      <c r="AA3232" s="2" t="s">
        <v>1043</v>
      </c>
      <c r="AB3232" s="2" t="s">
        <v>1273</v>
      </c>
      <c r="AC3232" s="2" t="s">
        <v>1040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2516</v>
      </c>
      <c r="M3233" s="2" t="s">
        <v>81</v>
      </c>
      <c r="P3233" s="2" t="s">
        <v>1040</v>
      </c>
      <c r="Q3233" s="2" t="s">
        <v>2606</v>
      </c>
      <c r="R3233" s="2" t="s">
        <v>2607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3233</v>
      </c>
      <c r="AA3233" s="2" t="s">
        <v>1043</v>
      </c>
      <c r="AB3233" s="2" t="s">
        <v>2174</v>
      </c>
      <c r="AC3233" s="2" t="s">
        <v>1040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2608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hidden="1" x14ac:dyDescent="0.2">
      <c r="A3235" s="2">
        <v>2026</v>
      </c>
      <c r="B3235" s="2">
        <v>2</v>
      </c>
      <c r="D3235" s="2" t="s">
        <v>2532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hidden="1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hidden="1" x14ac:dyDescent="0.2">
      <c r="A3237" s="2">
        <v>2026</v>
      </c>
      <c r="B3237" s="2">
        <v>2</v>
      </c>
      <c r="D3237" s="2" t="s">
        <v>1357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2506</v>
      </c>
      <c r="J3237" s="2" t="s">
        <v>2507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hidden="1" x14ac:dyDescent="0.2">
      <c r="A3238" s="2">
        <v>2026</v>
      </c>
      <c r="B3238" s="2">
        <v>2</v>
      </c>
      <c r="D3238" s="2" t="s">
        <v>1357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2506</v>
      </c>
      <c r="J3238" s="2" t="s">
        <v>2507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hidden="1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hidden="1" x14ac:dyDescent="0.2">
      <c r="A3241" s="2">
        <v>2026</v>
      </c>
      <c r="B3241" s="2">
        <v>1</v>
      </c>
      <c r="D3241" s="2" t="s">
        <v>2237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hidden="1" x14ac:dyDescent="0.2">
      <c r="A3242" s="2">
        <v>2026</v>
      </c>
      <c r="B3242" s="2">
        <v>1</v>
      </c>
      <c r="D3242" s="2" t="s">
        <v>2237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hidden="1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2609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hidden="1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2609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hidden="1" x14ac:dyDescent="0.2">
      <c r="A3245" s="2">
        <v>2026</v>
      </c>
      <c r="B3245" s="2">
        <v>1</v>
      </c>
      <c r="D3245" s="2" t="s">
        <v>2339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2339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hidden="1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2310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2310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hidden="1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2480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hidden="1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2480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hidden="1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hidden="1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hidden="1" x14ac:dyDescent="0.2">
      <c r="A3253" s="2">
        <v>2026</v>
      </c>
      <c r="B3253" s="2">
        <v>4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hidden="1" x14ac:dyDescent="0.2">
      <c r="A3254" s="2">
        <v>2026</v>
      </c>
      <c r="B3254" s="2">
        <v>4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hidden="1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hidden="1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hidden="1" x14ac:dyDescent="0.2">
      <c r="A3257" s="2">
        <v>2026</v>
      </c>
      <c r="B3257" s="2">
        <v>2</v>
      </c>
      <c r="D3257" s="2" t="s">
        <v>2515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hidden="1" x14ac:dyDescent="0.2">
      <c r="A3258" s="2">
        <v>2026</v>
      </c>
      <c r="B3258" s="2">
        <v>2</v>
      </c>
      <c r="D3258" s="2" t="s">
        <v>2515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hidden="1" x14ac:dyDescent="0.2">
      <c r="A3259" s="2">
        <v>2026</v>
      </c>
      <c r="B3259" s="2">
        <v>4</v>
      </c>
      <c r="D3259" s="2" t="s">
        <v>2610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2611</v>
      </c>
      <c r="K3259" s="2">
        <v>935402550</v>
      </c>
      <c r="L3259" s="2" t="s">
        <v>113</v>
      </c>
      <c r="M3259" s="2" t="s">
        <v>40</v>
      </c>
      <c r="O3259" s="2" t="s">
        <v>2612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hidden="1" x14ac:dyDescent="0.2">
      <c r="A3260" s="2">
        <v>2026</v>
      </c>
      <c r="B3260" s="2">
        <v>4</v>
      </c>
      <c r="D3260" s="2" t="s">
        <v>2610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2611</v>
      </c>
      <c r="K3260" s="2">
        <v>935402550</v>
      </c>
      <c r="L3260" s="2" t="s">
        <v>113</v>
      </c>
      <c r="M3260" s="2" t="s">
        <v>40</v>
      </c>
      <c r="O3260" s="2" t="s">
        <v>2612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hidden="1" x14ac:dyDescent="0.2">
      <c r="A3261" s="2">
        <v>2026</v>
      </c>
      <c r="B3261" s="2">
        <v>4</v>
      </c>
      <c r="D3261" s="2" t="s">
        <v>2613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2614</v>
      </c>
      <c r="J3261" s="2" t="s">
        <v>2615</v>
      </c>
      <c r="K3261" s="2">
        <v>912183782</v>
      </c>
      <c r="L3261" s="2" t="s">
        <v>202</v>
      </c>
      <c r="M3261" s="2" t="s">
        <v>40</v>
      </c>
      <c r="O3261" s="2" t="s">
        <v>2616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hidden="1" x14ac:dyDescent="0.2">
      <c r="A3262" s="2">
        <v>2026</v>
      </c>
      <c r="B3262" s="2">
        <v>4</v>
      </c>
      <c r="D3262" s="2" t="s">
        <v>2613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2614</v>
      </c>
      <c r="J3262" s="2" t="s">
        <v>2615</v>
      </c>
      <c r="K3262" s="2">
        <v>912183782</v>
      </c>
      <c r="L3262" s="2" t="s">
        <v>202</v>
      </c>
      <c r="M3262" s="2" t="s">
        <v>40</v>
      </c>
      <c r="O3262" s="2" t="s">
        <v>2616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hidden="1" x14ac:dyDescent="0.2">
      <c r="A3265" s="2">
        <v>2026</v>
      </c>
      <c r="B3265" s="2">
        <v>3</v>
      </c>
      <c r="D3265" s="2" t="s">
        <v>823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hidden="1" x14ac:dyDescent="0.2">
      <c r="A3266" s="2">
        <v>2026</v>
      </c>
      <c r="B3266" s="2">
        <v>3</v>
      </c>
      <c r="D3266" s="2" t="s">
        <v>823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hidden="1" x14ac:dyDescent="0.2">
      <c r="A3267" s="2">
        <v>2026</v>
      </c>
      <c r="B3267" s="2">
        <v>4</v>
      </c>
      <c r="D3267" s="2" t="s">
        <v>823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3328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hidden="1" x14ac:dyDescent="0.2">
      <c r="A3269" s="2">
        <v>2026</v>
      </c>
      <c r="B3269" s="2">
        <v>2</v>
      </c>
      <c r="D3269" s="2" t="s">
        <v>2516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hidden="1" x14ac:dyDescent="0.2">
      <c r="A3270" s="2">
        <v>2026</v>
      </c>
      <c r="B3270" s="2">
        <v>2</v>
      </c>
      <c r="D3270" s="2" t="s">
        <v>2584</v>
      </c>
      <c r="E3270" s="2" t="s">
        <v>184</v>
      </c>
      <c r="F3270" s="2" t="s">
        <v>2585</v>
      </c>
      <c r="G3270" s="2">
        <v>515259144</v>
      </c>
      <c r="H3270" s="2" t="s">
        <v>81</v>
      </c>
      <c r="I3270" s="2" t="s">
        <v>157</v>
      </c>
      <c r="J3270" s="2" t="s">
        <v>2586</v>
      </c>
      <c r="K3270" s="2">
        <v>968626165</v>
      </c>
      <c r="L3270" s="2" t="s">
        <v>100</v>
      </c>
      <c r="M3270" s="2" t="s">
        <v>81</v>
      </c>
      <c r="O3270" s="2" t="s">
        <v>2617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hidden="1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1559</v>
      </c>
      <c r="J3271" s="2" t="s">
        <v>2531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hidden="1" x14ac:dyDescent="0.2">
      <c r="A3272" s="2">
        <v>2026</v>
      </c>
      <c r="B3272" s="2">
        <v>2</v>
      </c>
      <c r="D3272" s="2" t="s">
        <v>2542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hidden="1" x14ac:dyDescent="0.2">
      <c r="A3273" s="2">
        <v>2026</v>
      </c>
      <c r="B3273" s="2">
        <v>2</v>
      </c>
      <c r="D3273" s="2" t="s">
        <v>1400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3223</v>
      </c>
      <c r="J3273" s="2" t="s">
        <v>3222</v>
      </c>
      <c r="K3273" s="2">
        <v>913814877</v>
      </c>
      <c r="L3273" s="2" t="s">
        <v>202</v>
      </c>
      <c r="M3273" s="2" t="s">
        <v>81</v>
      </c>
      <c r="O3273" s="2" t="s">
        <v>3219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hidden="1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hidden="1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2592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hidden="1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hidden="1" x14ac:dyDescent="0.2">
      <c r="A3277" s="2">
        <v>2026</v>
      </c>
      <c r="B3277" s="2">
        <v>2</v>
      </c>
      <c r="D3277" s="2" t="s">
        <v>2159</v>
      </c>
      <c r="M3277" s="2" t="s">
        <v>40</v>
      </c>
      <c r="P3277" s="2" t="s">
        <v>188</v>
      </c>
      <c r="Q3277" s="2" t="s">
        <v>1311</v>
      </c>
      <c r="R3277" s="2" t="s">
        <v>1312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1313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2618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3233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2543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3233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hidden="1" x14ac:dyDescent="0.2">
      <c r="A3280" s="2">
        <v>2026</v>
      </c>
      <c r="B3280" s="2">
        <v>2</v>
      </c>
      <c r="C3280" s="2" t="s">
        <v>3328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3233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hidden="1" x14ac:dyDescent="0.2">
      <c r="A3281" s="2">
        <v>2026</v>
      </c>
      <c r="B3281" s="2">
        <v>2</v>
      </c>
      <c r="D3281" s="2" t="s">
        <v>2581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3233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hidden="1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2619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3233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2577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3233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hidden="1" x14ac:dyDescent="0.2">
      <c r="A3284" s="2">
        <v>2026</v>
      </c>
      <c r="B3284" s="2">
        <v>2</v>
      </c>
      <c r="D3284" s="2" t="s">
        <v>2563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3233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hidden="1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3233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hidden="1" x14ac:dyDescent="0.2">
      <c r="A3286" s="2">
        <v>2026</v>
      </c>
      <c r="B3286" s="2">
        <v>2</v>
      </c>
      <c r="D3286" s="2" t="s">
        <v>2000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3233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hidden="1" x14ac:dyDescent="0.2">
      <c r="A3287" s="2">
        <v>2026</v>
      </c>
      <c r="B3287" s="2">
        <v>2</v>
      </c>
      <c r="D3287" s="2" t="s">
        <v>2584</v>
      </c>
      <c r="E3287" s="2" t="s">
        <v>184</v>
      </c>
      <c r="F3287" s="2" t="s">
        <v>2585</v>
      </c>
      <c r="G3287" s="2">
        <v>515259144</v>
      </c>
      <c r="H3287" s="2" t="s">
        <v>81</v>
      </c>
      <c r="I3287" s="2" t="s">
        <v>157</v>
      </c>
      <c r="J3287" s="2" t="s">
        <v>2586</v>
      </c>
      <c r="K3287" s="2">
        <v>968626165</v>
      </c>
      <c r="L3287" s="2" t="s">
        <v>100</v>
      </c>
      <c r="M3287" s="2" t="s">
        <v>81</v>
      </c>
      <c r="O3287" s="2" t="s">
        <v>2587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3233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hidden="1" x14ac:dyDescent="0.2">
      <c r="A3288" s="2">
        <v>2026</v>
      </c>
      <c r="B3288" s="2">
        <v>2</v>
      </c>
      <c r="D3288" s="2" t="s">
        <v>1558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1559</v>
      </c>
      <c r="J3288" s="2" t="s">
        <v>1560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3233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hidden="1" x14ac:dyDescent="0.2">
      <c r="A3289" s="2">
        <v>2026</v>
      </c>
      <c r="B3289" s="2">
        <v>2</v>
      </c>
      <c r="D3289" s="2" t="s">
        <v>1379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3233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hidden="1" x14ac:dyDescent="0.2">
      <c r="A3290" s="2">
        <v>2026</v>
      </c>
      <c r="B3290" s="2">
        <v>2</v>
      </c>
      <c r="D3290" s="2" t="s">
        <v>2573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3233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hidden="1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3233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hidden="1" x14ac:dyDescent="0.2">
      <c r="A3292" s="2">
        <v>2026</v>
      </c>
      <c r="B3292" s="2">
        <v>2</v>
      </c>
      <c r="D3292" s="2" t="s">
        <v>1259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3233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hidden="1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2579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3233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hidden="1" x14ac:dyDescent="0.2">
      <c r="A3294" s="2">
        <v>2026</v>
      </c>
      <c r="B3294" s="2">
        <v>2</v>
      </c>
      <c r="D3294" s="2" t="s">
        <v>1598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1599</v>
      </c>
      <c r="J3294" s="2" t="s">
        <v>1600</v>
      </c>
      <c r="L3294" s="2" t="s">
        <v>202</v>
      </c>
      <c r="M3294" s="2" t="s">
        <v>81</v>
      </c>
      <c r="O3294" s="2" t="s">
        <v>2566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3233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hidden="1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3233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2564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3233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hidden="1" x14ac:dyDescent="0.2">
      <c r="A3297" s="2">
        <v>2026</v>
      </c>
      <c r="B3297" s="2">
        <v>2</v>
      </c>
      <c r="D3297" s="2" t="s">
        <v>2565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3233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hidden="1" x14ac:dyDescent="0.2">
      <c r="A3298" s="2">
        <v>2026</v>
      </c>
      <c r="B3298" s="2">
        <v>2</v>
      </c>
      <c r="D3298" s="2" t="s">
        <v>2532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hidden="1" x14ac:dyDescent="0.2">
      <c r="A3299" s="2">
        <v>2026</v>
      </c>
      <c r="B3299" s="2">
        <v>2</v>
      </c>
      <c r="D3299" s="2" t="s">
        <v>2620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3388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hidden="1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2621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hidden="1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2622</v>
      </c>
      <c r="P3301" s="2" t="s">
        <v>115</v>
      </c>
      <c r="Q3301" s="2" t="s">
        <v>2231</v>
      </c>
      <c r="R3301" s="2" t="s">
        <v>2232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2264</v>
      </c>
      <c r="G3302" s="2">
        <v>503636002</v>
      </c>
      <c r="I3302" s="2" t="s">
        <v>2623</v>
      </c>
      <c r="M3302" s="2" t="s">
        <v>40</v>
      </c>
      <c r="O3302" s="2" t="s">
        <v>2624</v>
      </c>
      <c r="P3302" s="2" t="s">
        <v>115</v>
      </c>
      <c r="Q3302" s="2" t="s">
        <v>2233</v>
      </c>
      <c r="R3302" s="2" t="s">
        <v>2234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2625</v>
      </c>
      <c r="P3303" s="2" t="s">
        <v>115</v>
      </c>
      <c r="Q3303" s="2" t="s">
        <v>2626</v>
      </c>
      <c r="R3303" s="2" t="s">
        <v>2627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2055</v>
      </c>
      <c r="M3304" s="2" t="s">
        <v>40</v>
      </c>
      <c r="O3304" s="2" t="s">
        <v>2628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2264</v>
      </c>
      <c r="M3305" s="2" t="s">
        <v>40</v>
      </c>
      <c r="O3305" s="2" t="s">
        <v>2624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2451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3327</v>
      </c>
      <c r="D3307" s="2" t="s">
        <v>2156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2629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2619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3233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hidden="1" x14ac:dyDescent="0.2">
      <c r="A3309" s="2">
        <v>2026</v>
      </c>
      <c r="B3309" s="2">
        <v>3</v>
      </c>
      <c r="D3309" s="2" t="s">
        <v>2630</v>
      </c>
      <c r="M3309" s="2" t="s">
        <v>40</v>
      </c>
      <c r="O3309" s="2" t="s">
        <v>2631</v>
      </c>
      <c r="P3309" s="2" t="s">
        <v>115</v>
      </c>
      <c r="Q3309" s="2" t="s">
        <v>2632</v>
      </c>
      <c r="R3309" s="2" t="s">
        <v>2633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hidden="1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hidden="1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2634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hidden="1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1474</v>
      </c>
      <c r="R3313" s="2" t="s">
        <v>1475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hidden="1" x14ac:dyDescent="0.2">
      <c r="A3314" s="2">
        <v>2026</v>
      </c>
      <c r="B3314" s="2">
        <v>2</v>
      </c>
      <c r="D3314" s="2" t="s">
        <v>2630</v>
      </c>
      <c r="P3314" s="2" t="s">
        <v>115</v>
      </c>
      <c r="Q3314" s="2" t="s">
        <v>1474</v>
      </c>
      <c r="R3314" s="2" t="s">
        <v>1475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hidden="1" x14ac:dyDescent="0.2">
      <c r="A3315" s="2">
        <v>2026</v>
      </c>
      <c r="B3315" s="2">
        <v>2</v>
      </c>
      <c r="D3315" s="2" t="s">
        <v>2635</v>
      </c>
      <c r="P3315" s="2" t="s">
        <v>115</v>
      </c>
      <c r="Q3315" s="2" t="s">
        <v>2120</v>
      </c>
      <c r="R3315" s="2" t="s">
        <v>2121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hidden="1" x14ac:dyDescent="0.2">
      <c r="A3316" s="2">
        <v>2026</v>
      </c>
      <c r="B3316" s="2">
        <v>2</v>
      </c>
      <c r="D3316" s="2" t="s">
        <v>1595</v>
      </c>
      <c r="M3316" s="2" t="s">
        <v>41</v>
      </c>
      <c r="P3316" s="2" t="s">
        <v>115</v>
      </c>
      <c r="Q3316" s="2" t="s">
        <v>2636</v>
      </c>
      <c r="R3316" s="2" t="s">
        <v>2637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C3318" s="2" t="s">
        <v>3429</v>
      </c>
      <c r="D3318" s="2" t="s">
        <v>2635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hidden="1" x14ac:dyDescent="0.2">
      <c r="A3319" s="2">
        <v>2026</v>
      </c>
      <c r="B3319" s="2">
        <v>3</v>
      </c>
      <c r="C3319" s="2" t="s">
        <v>3429</v>
      </c>
      <c r="D3319" s="2" t="s">
        <v>2638</v>
      </c>
      <c r="E3319" s="2" t="s">
        <v>38</v>
      </c>
      <c r="G3319" s="2">
        <v>508857562</v>
      </c>
      <c r="H3319" s="2" t="s">
        <v>110</v>
      </c>
      <c r="I3319" s="2" t="s">
        <v>2639</v>
      </c>
      <c r="J3319" s="2" t="s">
        <v>2640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1890</v>
      </c>
      <c r="M3320" s="2" t="s">
        <v>291</v>
      </c>
      <c r="O3320" s="2" t="s">
        <v>2641</v>
      </c>
      <c r="P3320" s="2" t="s">
        <v>2642</v>
      </c>
      <c r="Q3320" s="2" t="s">
        <v>2643</v>
      </c>
      <c r="R3320" s="2" t="s">
        <v>2644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3233</v>
      </c>
      <c r="AA3320" s="2" t="s">
        <v>72</v>
      </c>
      <c r="AB3320" s="2" t="s">
        <v>120</v>
      </c>
      <c r="AC3320" s="2" t="s">
        <v>2642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2522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2523</v>
      </c>
      <c r="J3321" s="2" t="s">
        <v>2524</v>
      </c>
      <c r="K3321" s="2">
        <v>967032538</v>
      </c>
      <c r="L3321" s="2" t="s">
        <v>399</v>
      </c>
      <c r="M3321" s="2" t="s">
        <v>110</v>
      </c>
      <c r="O3321" s="2" t="s">
        <v>2645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3233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2646</v>
      </c>
      <c r="P3322" s="2" t="s">
        <v>283</v>
      </c>
      <c r="Q3322" s="2" t="s">
        <v>1667</v>
      </c>
      <c r="R3322" s="2" t="s">
        <v>1668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2647</v>
      </c>
      <c r="AC3322" s="2" t="s">
        <v>1330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2646</v>
      </c>
      <c r="P3323" s="2" t="s">
        <v>283</v>
      </c>
      <c r="Q3323" s="2" t="s">
        <v>1669</v>
      </c>
      <c r="R3323" s="2" t="s">
        <v>1670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2647</v>
      </c>
      <c r="AC3323" s="2" t="s">
        <v>1330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hidden="1" x14ac:dyDescent="0.2">
      <c r="A3324" s="2">
        <v>2026</v>
      </c>
      <c r="B3324" s="2">
        <v>3</v>
      </c>
      <c r="D3324" s="2" t="s">
        <v>2648</v>
      </c>
      <c r="E3324" s="2" t="s">
        <v>38</v>
      </c>
      <c r="G3324" s="2">
        <v>506820378</v>
      </c>
      <c r="H3324" s="2" t="s">
        <v>41</v>
      </c>
      <c r="I3324" s="2" t="s">
        <v>2649</v>
      </c>
      <c r="J3324" s="2" t="s">
        <v>2650</v>
      </c>
      <c r="L3324" s="2" t="s">
        <v>419</v>
      </c>
      <c r="M3324" s="2" t="s">
        <v>41</v>
      </c>
      <c r="O3324" s="2" t="s">
        <v>2651</v>
      </c>
      <c r="P3324" s="2" t="s">
        <v>283</v>
      </c>
      <c r="Q3324" s="2" t="s">
        <v>1785</v>
      </c>
      <c r="R3324" s="2" t="s">
        <v>1786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1333</v>
      </c>
      <c r="AC3324" s="2" t="s">
        <v>1330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3265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2652</v>
      </c>
      <c r="L3325" s="2" t="s">
        <v>419</v>
      </c>
      <c r="M3325" s="2" t="s">
        <v>41</v>
      </c>
      <c r="O3325" s="2" t="s">
        <v>3264</v>
      </c>
      <c r="P3325" s="2" t="s">
        <v>283</v>
      </c>
      <c r="Q3325" s="2" t="s">
        <v>2653</v>
      </c>
      <c r="R3325" s="2" t="s">
        <v>2654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1579</v>
      </c>
      <c r="AB3325" s="2" t="s">
        <v>389</v>
      </c>
      <c r="AC3325" s="2" t="s">
        <v>1330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hidden="1" x14ac:dyDescent="0.2">
      <c r="A3326" s="2">
        <v>2026</v>
      </c>
      <c r="B3326" s="2">
        <v>3</v>
      </c>
      <c r="D3326" s="2" t="s">
        <v>3265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2652</v>
      </c>
      <c r="L3326" s="2" t="s">
        <v>419</v>
      </c>
      <c r="M3326" s="2" t="s">
        <v>41</v>
      </c>
      <c r="O3326" s="2" t="s">
        <v>3264</v>
      </c>
      <c r="P3326" s="2" t="s">
        <v>283</v>
      </c>
      <c r="Q3326" s="2" t="s">
        <v>2655</v>
      </c>
      <c r="R3326" s="2" t="s">
        <v>2656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1579</v>
      </c>
      <c r="AB3326" s="2" t="s">
        <v>389</v>
      </c>
      <c r="AC3326" s="2" t="s">
        <v>1330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3265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2652</v>
      </c>
      <c r="L3327" s="2" t="s">
        <v>419</v>
      </c>
      <c r="M3327" s="2" t="s">
        <v>41</v>
      </c>
      <c r="O3327" s="2" t="s">
        <v>3264</v>
      </c>
      <c r="P3327" s="2" t="s">
        <v>283</v>
      </c>
      <c r="Q3327" s="2" t="s">
        <v>2657</v>
      </c>
      <c r="R3327" s="2" t="s">
        <v>2658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1579</v>
      </c>
      <c r="AB3327" s="2" t="s">
        <v>389</v>
      </c>
      <c r="AC3327" s="2" t="s">
        <v>1330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hidden="1" x14ac:dyDescent="0.2">
      <c r="A3328" s="2">
        <v>2026</v>
      </c>
      <c r="B3328" s="2">
        <v>3</v>
      </c>
      <c r="C3328" s="2" t="s">
        <v>3429</v>
      </c>
      <c r="D3328" s="2" t="s">
        <v>3426</v>
      </c>
      <c r="E3328" s="2" t="s">
        <v>3427</v>
      </c>
      <c r="F3328" s="2" t="s">
        <v>3428</v>
      </c>
      <c r="L3328" s="2" t="s">
        <v>294</v>
      </c>
      <c r="M3328" s="2" t="s">
        <v>291</v>
      </c>
      <c r="O3328" s="2" t="s">
        <v>2659</v>
      </c>
      <c r="P3328" s="2" t="s">
        <v>283</v>
      </c>
      <c r="Q3328" s="2" t="s">
        <v>1285</v>
      </c>
      <c r="R3328" s="2" t="s">
        <v>1286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1579</v>
      </c>
      <c r="AB3328" s="2" t="s">
        <v>389</v>
      </c>
      <c r="AC3328" s="2" t="s">
        <v>1330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hidden="1" x14ac:dyDescent="0.2">
      <c r="A3329" s="2">
        <v>2026</v>
      </c>
      <c r="B3329" s="2">
        <v>3</v>
      </c>
      <c r="C3329" s="2" t="s">
        <v>3429</v>
      </c>
      <c r="D3329" s="2" t="s">
        <v>3426</v>
      </c>
      <c r="E3329" s="2" t="s">
        <v>3427</v>
      </c>
      <c r="F3329" s="2" t="s">
        <v>3428</v>
      </c>
      <c r="L3329" s="2" t="s">
        <v>294</v>
      </c>
      <c r="M3329" s="2" t="s">
        <v>291</v>
      </c>
      <c r="O3329" s="2" t="s">
        <v>2659</v>
      </c>
      <c r="P3329" s="2" t="s">
        <v>283</v>
      </c>
      <c r="Q3329" s="2" t="s">
        <v>1287</v>
      </c>
      <c r="R3329" s="2" t="s">
        <v>1288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3389</v>
      </c>
      <c r="AC3329" s="2" t="s">
        <v>1330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C3330" s="2" t="s">
        <v>3429</v>
      </c>
      <c r="D3330" s="2" t="s">
        <v>3426</v>
      </c>
      <c r="E3330" s="2" t="s">
        <v>3427</v>
      </c>
      <c r="F3330" s="2" t="s">
        <v>3428</v>
      </c>
      <c r="L3330" s="2" t="s">
        <v>294</v>
      </c>
      <c r="M3330" s="2" t="s">
        <v>291</v>
      </c>
      <c r="O3330" s="2" t="s">
        <v>2659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1579</v>
      </c>
      <c r="AB3330" s="2" t="s">
        <v>389</v>
      </c>
      <c r="AC3330" s="2" t="s">
        <v>1330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2660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2661</v>
      </c>
      <c r="J3331" s="2" t="s">
        <v>2662</v>
      </c>
      <c r="K3331" s="2">
        <v>917531684</v>
      </c>
      <c r="L3331" s="2" t="s">
        <v>178</v>
      </c>
      <c r="M3331" s="2" t="s">
        <v>40</v>
      </c>
      <c r="O3331" s="2" t="s">
        <v>2663</v>
      </c>
      <c r="P3331" s="2" t="s">
        <v>283</v>
      </c>
      <c r="Q3331" s="2" t="s">
        <v>1289</v>
      </c>
      <c r="R3331" s="2" t="s">
        <v>1290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1579</v>
      </c>
      <c r="AB3331" s="2" t="s">
        <v>389</v>
      </c>
      <c r="AC3331" s="2" t="s">
        <v>1330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2646</v>
      </c>
      <c r="P3332" s="2" t="s">
        <v>283</v>
      </c>
      <c r="Q3332" s="2" t="s">
        <v>1289</v>
      </c>
      <c r="R3332" s="2" t="s">
        <v>1290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1579</v>
      </c>
      <c r="AB3332" s="2" t="s">
        <v>389</v>
      </c>
      <c r="AC3332" s="2" t="s">
        <v>1330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2664</v>
      </c>
      <c r="P3333" s="2" t="s">
        <v>283</v>
      </c>
      <c r="Q3333" s="2" t="s">
        <v>1289</v>
      </c>
      <c r="R3333" s="2" t="s">
        <v>1290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1579</v>
      </c>
      <c r="AB3333" s="2" t="s">
        <v>389</v>
      </c>
      <c r="AC3333" s="2" t="s">
        <v>1330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2665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2666</v>
      </c>
      <c r="J3334" s="2" t="s">
        <v>2667</v>
      </c>
      <c r="K3334" s="2">
        <v>934367883</v>
      </c>
      <c r="L3334" s="2" t="s">
        <v>419</v>
      </c>
      <c r="O3334" s="2" t="s">
        <v>2668</v>
      </c>
      <c r="P3334" s="2" t="s">
        <v>283</v>
      </c>
      <c r="Q3334" s="2" t="s">
        <v>1289</v>
      </c>
      <c r="R3334" s="2" t="s">
        <v>1290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1579</v>
      </c>
      <c r="AB3334" s="2" t="s">
        <v>389</v>
      </c>
      <c r="AC3334" s="2" t="s">
        <v>1330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2660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2661</v>
      </c>
      <c r="J3335" s="2" t="s">
        <v>2662</v>
      </c>
      <c r="K3335" s="2">
        <v>917531684</v>
      </c>
      <c r="L3335" s="2" t="s">
        <v>178</v>
      </c>
      <c r="M3335" s="2" t="s">
        <v>40</v>
      </c>
      <c r="O3335" s="2" t="s">
        <v>2663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1579</v>
      </c>
      <c r="AB3335" s="2" t="s">
        <v>389</v>
      </c>
      <c r="AC3335" s="2" t="s">
        <v>1330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hidden="1" x14ac:dyDescent="0.2">
      <c r="A3336" s="2">
        <v>2026</v>
      </c>
      <c r="B3336" s="2">
        <v>3</v>
      </c>
      <c r="D3336" s="2" t="s">
        <v>2646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1579</v>
      </c>
      <c r="AB3336" s="2" t="s">
        <v>389</v>
      </c>
      <c r="AC3336" s="2" t="s">
        <v>1330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hidden="1" x14ac:dyDescent="0.2">
      <c r="A3337" s="2">
        <v>2026</v>
      </c>
      <c r="B3337" s="2">
        <v>3</v>
      </c>
      <c r="C3337" s="2" t="s">
        <v>3429</v>
      </c>
      <c r="D3337" s="2" t="s">
        <v>3426</v>
      </c>
      <c r="E3337" s="2" t="s">
        <v>3427</v>
      </c>
      <c r="F3337" s="2" t="s">
        <v>3428</v>
      </c>
      <c r="L3337" s="2" t="s">
        <v>294</v>
      </c>
      <c r="M3337" s="2" t="s">
        <v>291</v>
      </c>
      <c r="O3337" s="2" t="s">
        <v>2659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1579</v>
      </c>
      <c r="AB3337" s="2" t="s">
        <v>389</v>
      </c>
      <c r="AC3337" s="2" t="s">
        <v>1330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2664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1579</v>
      </c>
      <c r="AB3338" s="2" t="s">
        <v>389</v>
      </c>
      <c r="AC3338" s="2" t="s">
        <v>1330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2665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2666</v>
      </c>
      <c r="J3339" s="2" t="s">
        <v>2667</v>
      </c>
      <c r="K3339" s="2">
        <v>934367883</v>
      </c>
      <c r="L3339" s="2" t="s">
        <v>419</v>
      </c>
      <c r="O3339" s="2" t="s">
        <v>2668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1579</v>
      </c>
      <c r="AB3339" s="2" t="s">
        <v>389</v>
      </c>
      <c r="AC3339" s="2" t="s">
        <v>1330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hidden="1" x14ac:dyDescent="0.2">
      <c r="A3340" s="2">
        <v>2026</v>
      </c>
      <c r="B3340" s="2">
        <v>3</v>
      </c>
      <c r="D3340" s="2" t="s">
        <v>2660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2661</v>
      </c>
      <c r="J3340" s="2" t="s">
        <v>2662</v>
      </c>
      <c r="K3340" s="2">
        <v>917531684</v>
      </c>
      <c r="L3340" s="2" t="s">
        <v>178</v>
      </c>
      <c r="M3340" s="2" t="s">
        <v>40</v>
      </c>
      <c r="O3340" s="2" t="s">
        <v>2663</v>
      </c>
      <c r="P3340" s="2" t="s">
        <v>283</v>
      </c>
      <c r="Q3340" s="2" t="s">
        <v>1291</v>
      </c>
      <c r="R3340" s="2" t="s">
        <v>1292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1579</v>
      </c>
      <c r="AB3340" s="2" t="s">
        <v>389</v>
      </c>
      <c r="AC3340" s="2" t="s">
        <v>1330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hidden="1" x14ac:dyDescent="0.2">
      <c r="A3341" s="2">
        <v>2026</v>
      </c>
      <c r="B3341" s="2">
        <v>3</v>
      </c>
      <c r="D3341" s="2" t="s">
        <v>2646</v>
      </c>
      <c r="E3341" s="2" t="s">
        <v>753</v>
      </c>
      <c r="G3341" s="2">
        <v>504481991</v>
      </c>
      <c r="H3341" s="2" t="s">
        <v>40</v>
      </c>
      <c r="I3341" s="2" t="s">
        <v>2669</v>
      </c>
      <c r="J3341" s="2" t="s">
        <v>2670</v>
      </c>
      <c r="L3341" s="2" t="s">
        <v>202</v>
      </c>
      <c r="P3341" s="2" t="s">
        <v>283</v>
      </c>
      <c r="Q3341" s="2" t="s">
        <v>1291</v>
      </c>
      <c r="R3341" s="2" t="s">
        <v>1292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1579</v>
      </c>
      <c r="AB3341" s="2" t="s">
        <v>389</v>
      </c>
      <c r="AC3341" s="2" t="s">
        <v>1330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hidden="1" x14ac:dyDescent="0.2">
      <c r="A3342" s="2">
        <v>2026</v>
      </c>
      <c r="B3342" s="2">
        <v>3</v>
      </c>
      <c r="D3342" s="2" t="s">
        <v>2664</v>
      </c>
      <c r="E3342" s="2" t="s">
        <v>753</v>
      </c>
      <c r="G3342" s="2">
        <v>509674658</v>
      </c>
      <c r="H3342" s="2" t="s">
        <v>40</v>
      </c>
      <c r="I3342" s="2" t="s">
        <v>2671</v>
      </c>
      <c r="J3342" s="2" t="s">
        <v>2672</v>
      </c>
      <c r="L3342" s="2" t="s">
        <v>178</v>
      </c>
      <c r="P3342" s="2" t="s">
        <v>283</v>
      </c>
      <c r="Q3342" s="2" t="s">
        <v>1291</v>
      </c>
      <c r="R3342" s="2" t="s">
        <v>1292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1579</v>
      </c>
      <c r="AB3342" s="2" t="s">
        <v>389</v>
      </c>
      <c r="AC3342" s="2" t="s">
        <v>1330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hidden="1" x14ac:dyDescent="0.2">
      <c r="A3343" s="2">
        <v>2026</v>
      </c>
      <c r="B3343" s="2">
        <v>3</v>
      </c>
      <c r="D3343" s="2" t="s">
        <v>2665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2666</v>
      </c>
      <c r="J3343" s="2" t="s">
        <v>2667</v>
      </c>
      <c r="K3343" s="2">
        <v>934367883</v>
      </c>
      <c r="L3343" s="2" t="s">
        <v>419</v>
      </c>
      <c r="O3343" s="2" t="s">
        <v>2668</v>
      </c>
      <c r="P3343" s="2" t="s">
        <v>283</v>
      </c>
      <c r="Q3343" s="2" t="s">
        <v>1291</v>
      </c>
      <c r="R3343" s="2" t="s">
        <v>1292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1579</v>
      </c>
      <c r="AB3343" s="2" t="s">
        <v>389</v>
      </c>
      <c r="AC3343" s="2" t="s">
        <v>1330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hidden="1" x14ac:dyDescent="0.2">
      <c r="A3344" s="2">
        <v>2026</v>
      </c>
      <c r="B3344" s="2">
        <v>3</v>
      </c>
      <c r="D3344" s="2" t="s">
        <v>1890</v>
      </c>
      <c r="P3344" s="2" t="s">
        <v>283</v>
      </c>
      <c r="Q3344" s="2" t="s">
        <v>1956</v>
      </c>
      <c r="R3344" s="2" t="s">
        <v>1957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3233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2673</v>
      </c>
      <c r="P3345" s="2" t="s">
        <v>283</v>
      </c>
      <c r="Q3345" s="2" t="s">
        <v>1439</v>
      </c>
      <c r="R3345" s="2" t="s">
        <v>1440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3233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2674</v>
      </c>
      <c r="P3346" s="2" t="s">
        <v>283</v>
      </c>
      <c r="Q3346" s="2" t="s">
        <v>1439</v>
      </c>
      <c r="R3346" s="2" t="s">
        <v>1440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3233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2675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1559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1552</v>
      </c>
      <c r="R3347" s="2" t="s">
        <v>1553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hidden="1" x14ac:dyDescent="0.2">
      <c r="A3348" s="2">
        <v>2026</v>
      </c>
      <c r="B3348" s="2">
        <v>3</v>
      </c>
      <c r="D3348" s="2" t="s">
        <v>3265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2652</v>
      </c>
      <c r="L3348" s="2" t="s">
        <v>419</v>
      </c>
      <c r="M3348" s="2" t="s">
        <v>41</v>
      </c>
      <c r="O3348" s="2" t="s">
        <v>3264</v>
      </c>
      <c r="P3348" s="2" t="s">
        <v>283</v>
      </c>
      <c r="Q3348" s="2" t="s">
        <v>1255</v>
      </c>
      <c r="R3348" s="2" t="s">
        <v>1256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2675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1559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3233</v>
      </c>
      <c r="AA3349" s="2" t="s">
        <v>46</v>
      </c>
      <c r="AB3349" s="2" t="s">
        <v>61</v>
      </c>
      <c r="AC3349" s="2" t="s">
        <v>3339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1358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1359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3233</v>
      </c>
      <c r="AA3350" s="2" t="s">
        <v>46</v>
      </c>
      <c r="AB3350" s="2" t="s">
        <v>61</v>
      </c>
      <c r="AC3350" s="2" t="s">
        <v>3339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3233</v>
      </c>
      <c r="AA3351" s="2" t="s">
        <v>46</v>
      </c>
      <c r="AB3351" s="2" t="s">
        <v>61</v>
      </c>
      <c r="AC3351" s="2" t="s">
        <v>3339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1558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1559</v>
      </c>
      <c r="J3352" s="2" t="s">
        <v>1560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3233</v>
      </c>
      <c r="AA3352" s="2" t="s">
        <v>46</v>
      </c>
      <c r="AB3352" s="2" t="s">
        <v>61</v>
      </c>
      <c r="AC3352" s="2" t="s">
        <v>3339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2675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1559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3233</v>
      </c>
      <c r="AA3353" s="2" t="s">
        <v>46</v>
      </c>
      <c r="AB3353" s="2" t="s">
        <v>61</v>
      </c>
      <c r="AC3353" s="2" t="s">
        <v>3339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1358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1359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3233</v>
      </c>
      <c r="AA3354" s="2" t="s">
        <v>46</v>
      </c>
      <c r="AB3354" s="2" t="s">
        <v>61</v>
      </c>
      <c r="AC3354" s="2" t="s">
        <v>3339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3233</v>
      </c>
      <c r="AA3355" s="2" t="s">
        <v>46</v>
      </c>
      <c r="AB3355" s="2" t="s">
        <v>61</v>
      </c>
      <c r="AC3355" s="2" t="s">
        <v>3339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1558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1559</v>
      </c>
      <c r="J3356" s="2" t="s">
        <v>1560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3233</v>
      </c>
      <c r="AA3356" s="2" t="s">
        <v>46</v>
      </c>
      <c r="AB3356" s="2" t="s">
        <v>61</v>
      </c>
      <c r="AC3356" s="2" t="s">
        <v>3339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2522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2523</v>
      </c>
      <c r="J3357" s="2" t="s">
        <v>2524</v>
      </c>
      <c r="K3357" s="2">
        <v>967032538</v>
      </c>
      <c r="L3357" s="2" t="s">
        <v>399</v>
      </c>
      <c r="M3357" s="2" t="s">
        <v>110</v>
      </c>
      <c r="O3357" s="2" t="s">
        <v>2645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3233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3233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2522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2523</v>
      </c>
      <c r="J3359" s="2" t="s">
        <v>2524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3233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3233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2676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3233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2619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3233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2677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3233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2678</v>
      </c>
      <c r="J3364" s="2" t="s">
        <v>2679</v>
      </c>
      <c r="K3364" s="2">
        <v>962939747</v>
      </c>
      <c r="L3364" s="2" t="s">
        <v>100</v>
      </c>
      <c r="M3364" s="2" t="s">
        <v>41</v>
      </c>
      <c r="O3364" s="2" t="s">
        <v>2680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3233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hidden="1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2681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3233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1315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1316</v>
      </c>
      <c r="L3366" s="2" t="s">
        <v>178</v>
      </c>
      <c r="M3366" s="2" t="s">
        <v>41</v>
      </c>
      <c r="O3366" s="2" t="s">
        <v>2682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3233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hidden="1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2683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3233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3233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2683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3233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3182</v>
      </c>
      <c r="K3370" s="2">
        <v>911577458</v>
      </c>
      <c r="L3370" s="2" t="s">
        <v>178</v>
      </c>
      <c r="M3370" s="2" t="s">
        <v>41</v>
      </c>
      <c r="O3370" s="2" t="s">
        <v>3186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3233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3233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2522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2523</v>
      </c>
      <c r="J3372" s="2" t="s">
        <v>2524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3233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2684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3233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2681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3233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2685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3233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hidden="1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2685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3233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hidden="1" x14ac:dyDescent="0.2">
      <c r="A3377" s="2">
        <v>2026</v>
      </c>
      <c r="B3377" s="2">
        <v>3</v>
      </c>
      <c r="D3377" s="2" t="s">
        <v>982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3233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hidden="1" x14ac:dyDescent="0.2">
      <c r="A3378" s="2">
        <v>2026</v>
      </c>
      <c r="B3378" s="2">
        <v>3</v>
      </c>
      <c r="D3378" s="2" t="s">
        <v>982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3233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hidden="1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2685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3233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hidden="1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2685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3233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hidden="1" x14ac:dyDescent="0.2">
      <c r="A3381" s="2">
        <v>2026</v>
      </c>
      <c r="B3381" s="2">
        <v>3</v>
      </c>
      <c r="D3381" s="2" t="s">
        <v>2522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2523</v>
      </c>
      <c r="J3381" s="2" t="s">
        <v>2524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3233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2685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3233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1422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1275</v>
      </c>
      <c r="J3383" s="2" t="s">
        <v>2400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3233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2685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3233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2522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2523</v>
      </c>
      <c r="J3385" s="2" t="s">
        <v>2524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3233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hidden="1" x14ac:dyDescent="0.2">
      <c r="A3386" s="2">
        <v>2026</v>
      </c>
      <c r="B3386" s="2">
        <v>3</v>
      </c>
      <c r="D3386" s="2" t="s">
        <v>1422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1275</v>
      </c>
      <c r="J3386" s="2" t="s">
        <v>2400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3233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hidden="1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2686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3233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hidden="1" x14ac:dyDescent="0.2">
      <c r="A3388" s="2">
        <v>2026</v>
      </c>
      <c r="B3388" s="2">
        <v>3</v>
      </c>
      <c r="D3388" s="2" t="s">
        <v>2522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2523</v>
      </c>
      <c r="J3388" s="2" t="s">
        <v>2524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3233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hidden="1" x14ac:dyDescent="0.2">
      <c r="A3389" s="2">
        <v>2026</v>
      </c>
      <c r="B3389" s="2">
        <v>3</v>
      </c>
      <c r="D3389" s="2" t="s">
        <v>1422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1275</v>
      </c>
      <c r="J3389" s="2" t="s">
        <v>2400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3233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hidden="1" x14ac:dyDescent="0.2">
      <c r="A3390" s="2">
        <v>2026</v>
      </c>
      <c r="B3390" s="2">
        <v>3</v>
      </c>
      <c r="D3390" s="2" t="s">
        <v>1422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1275</v>
      </c>
      <c r="J3390" s="2" t="s">
        <v>2400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3233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hidden="1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2686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3233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hidden="1" x14ac:dyDescent="0.2">
      <c r="A3392" s="2">
        <v>2026</v>
      </c>
      <c r="B3392" s="2">
        <v>3</v>
      </c>
      <c r="D3392" s="2" t="s">
        <v>1422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1275</v>
      </c>
      <c r="J3392" s="2" t="s">
        <v>2400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3233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hidden="1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2685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3233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hidden="1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3233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hidden="1" x14ac:dyDescent="0.2">
      <c r="A3395" s="2">
        <v>2026</v>
      </c>
      <c r="B3395" s="2">
        <v>3</v>
      </c>
      <c r="D3395" s="2" t="s">
        <v>1422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1275</v>
      </c>
      <c r="J3395" s="2" t="s">
        <v>2400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3233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hidden="1" x14ac:dyDescent="0.2">
      <c r="A3396" s="2">
        <v>2026</v>
      </c>
      <c r="B3396" s="2">
        <v>3</v>
      </c>
      <c r="D3396" s="2" t="s">
        <v>1422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1275</v>
      </c>
      <c r="J3396" s="2" t="s">
        <v>2400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3233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hidden="1" x14ac:dyDescent="0.2">
      <c r="A3397" s="2">
        <v>2026</v>
      </c>
      <c r="B3397" s="2">
        <v>3</v>
      </c>
      <c r="D3397" s="2" t="s">
        <v>1422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1275</v>
      </c>
      <c r="J3397" s="2" t="s">
        <v>2400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3233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hidden="1" x14ac:dyDescent="0.2">
      <c r="A3398" s="2">
        <v>2026</v>
      </c>
      <c r="B3398" s="2">
        <v>3</v>
      </c>
      <c r="D3398" s="2" t="s">
        <v>1422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1275</v>
      </c>
      <c r="J3398" s="2" t="s">
        <v>2400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3233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3233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2687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3233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2688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3233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3233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3233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2676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3233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2619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3233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hidden="1" x14ac:dyDescent="0.2">
      <c r="A3406" s="2">
        <v>2026</v>
      </c>
      <c r="B3406" s="2">
        <v>3</v>
      </c>
      <c r="D3406" s="2" t="s">
        <v>1400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3223</v>
      </c>
      <c r="J3406" s="2" t="s">
        <v>3222</v>
      </c>
      <c r="K3406" s="2">
        <v>913814877</v>
      </c>
      <c r="L3406" s="2" t="s">
        <v>202</v>
      </c>
      <c r="M3406" s="2" t="s">
        <v>81</v>
      </c>
      <c r="O3406" s="2" t="s">
        <v>3220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3233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3233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2677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3233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2689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3233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3233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2690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3233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1315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1316</v>
      </c>
      <c r="L3412" s="2" t="s">
        <v>178</v>
      </c>
      <c r="M3412" s="2" t="s">
        <v>41</v>
      </c>
      <c r="O3412" s="2" t="s">
        <v>2682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3233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2691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3233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1315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1316</v>
      </c>
      <c r="L3414" s="2" t="s">
        <v>178</v>
      </c>
      <c r="M3414" s="2" t="s">
        <v>41</v>
      </c>
      <c r="O3414" s="2" t="s">
        <v>2692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3233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2693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3233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2522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2523</v>
      </c>
      <c r="J3416" s="2" t="s">
        <v>2524</v>
      </c>
      <c r="K3416" s="2">
        <v>967032538</v>
      </c>
      <c r="L3416" s="2" t="s">
        <v>399</v>
      </c>
      <c r="M3416" s="2" t="s">
        <v>110</v>
      </c>
      <c r="O3416" s="2" t="s">
        <v>2645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3233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3233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2688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3233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2522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2523</v>
      </c>
      <c r="J3419" s="2" t="s">
        <v>2524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3233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3233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3233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2619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3233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3233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3233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3233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2681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3233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3233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2688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3233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hidden="1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3233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hidden="1" x14ac:dyDescent="0.2">
      <c r="A3430" s="2">
        <v>2026</v>
      </c>
      <c r="B3430" s="2">
        <v>3</v>
      </c>
      <c r="D3430" s="2" t="s">
        <v>982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3233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hidden="1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3233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hidden="1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3140</v>
      </c>
      <c r="L3432" s="2" t="s">
        <v>178</v>
      </c>
      <c r="M3432" s="2" t="s">
        <v>41</v>
      </c>
      <c r="O3432" s="2" t="s">
        <v>3148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3233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hidden="1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3233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2694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3233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3233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3233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3233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hidden="1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2681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3233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hidden="1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2695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3233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2522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2523</v>
      </c>
      <c r="J3440" s="2" t="s">
        <v>2524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3233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3233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2683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3233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hidden="1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3233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2696</v>
      </c>
      <c r="M3444" s="2" t="s">
        <v>40</v>
      </c>
      <c r="P3444" s="2" t="s">
        <v>2697</v>
      </c>
      <c r="Q3444" s="2" t="s">
        <v>2698</v>
      </c>
      <c r="R3444" s="2" t="s">
        <v>2699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3233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2700</v>
      </c>
      <c r="P3445" s="2" t="s">
        <v>3237</v>
      </c>
      <c r="Q3445" s="2" t="s">
        <v>2701</v>
      </c>
      <c r="R3445" s="2" t="s">
        <v>2702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2703</v>
      </c>
      <c r="AB3445" s="2" t="s">
        <v>2704</v>
      </c>
      <c r="AC3445" s="2" t="s">
        <v>3237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1890</v>
      </c>
      <c r="P3446" s="2" t="s">
        <v>3237</v>
      </c>
      <c r="Q3446" s="2" t="s">
        <v>1792</v>
      </c>
      <c r="R3446" s="2" t="s">
        <v>1793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3237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2705</v>
      </c>
      <c r="P3447" s="2" t="s">
        <v>3237</v>
      </c>
      <c r="Q3447" s="2" t="s">
        <v>2706</v>
      </c>
      <c r="R3447" s="2" t="s">
        <v>2707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3237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2705</v>
      </c>
      <c r="P3448" s="2" t="s">
        <v>3237</v>
      </c>
      <c r="Q3448" s="2" t="s">
        <v>1951</v>
      </c>
      <c r="R3448" s="2" t="s">
        <v>1952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3237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2708</v>
      </c>
      <c r="R3449" s="2" t="s">
        <v>2709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3233</v>
      </c>
      <c r="AC3449" s="2" t="s">
        <v>3238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hidden="1" x14ac:dyDescent="0.2">
      <c r="A3450" s="2">
        <v>2026</v>
      </c>
      <c r="B3450" s="2">
        <v>3</v>
      </c>
      <c r="D3450" s="2" t="s">
        <v>1961</v>
      </c>
      <c r="M3450" s="2" t="s">
        <v>40</v>
      </c>
      <c r="P3450" s="2" t="s">
        <v>69</v>
      </c>
      <c r="Q3450" s="2" t="s">
        <v>2710</v>
      </c>
      <c r="R3450" s="2" t="s">
        <v>2711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3233</v>
      </c>
      <c r="AC3450" s="2" t="s">
        <v>3238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hidden="1" x14ac:dyDescent="0.2">
      <c r="A3451" s="2">
        <v>2026</v>
      </c>
      <c r="B3451" s="2">
        <v>3</v>
      </c>
      <c r="D3451" s="2" t="s">
        <v>1701</v>
      </c>
      <c r="P3451" s="2" t="s">
        <v>69</v>
      </c>
      <c r="Q3451" s="2" t="s">
        <v>2712</v>
      </c>
      <c r="R3451" s="2" t="s">
        <v>2713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3233</v>
      </c>
      <c r="AC3451" s="2" t="s">
        <v>3238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hidden="1" x14ac:dyDescent="0.2">
      <c r="A3452" s="2">
        <v>2026</v>
      </c>
      <c r="B3452" s="2">
        <v>3</v>
      </c>
      <c r="C3452" s="2" t="s">
        <v>3327</v>
      </c>
      <c r="D3452" s="2" t="s">
        <v>2638</v>
      </c>
      <c r="E3452" s="2" t="s">
        <v>38</v>
      </c>
      <c r="G3452" s="2">
        <v>508857562</v>
      </c>
      <c r="H3452" s="2" t="s">
        <v>110</v>
      </c>
      <c r="I3452" s="2" t="s">
        <v>2639</v>
      </c>
      <c r="J3452" s="2" t="s">
        <v>2640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3233</v>
      </c>
      <c r="AA3452" s="2" t="s">
        <v>72</v>
      </c>
      <c r="AB3452" s="2" t="s">
        <v>69</v>
      </c>
      <c r="AC3452" s="2" t="s">
        <v>3238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1890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3238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2714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3233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3233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2715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3233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2716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3233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1258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2717</v>
      </c>
      <c r="J3458" s="2" t="s">
        <v>2718</v>
      </c>
      <c r="K3458" s="2">
        <v>935047029</v>
      </c>
      <c r="L3458" s="2" t="s">
        <v>447</v>
      </c>
      <c r="M3458" s="2" t="s">
        <v>81</v>
      </c>
      <c r="O3458" s="2" t="s">
        <v>2719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3233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3327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1451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3233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3233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2720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2721</v>
      </c>
      <c r="J3461" s="2" t="s">
        <v>2722</v>
      </c>
      <c r="K3461" s="2">
        <v>962576243</v>
      </c>
      <c r="L3461" s="2" t="s">
        <v>447</v>
      </c>
      <c r="M3461" s="2" t="s">
        <v>81</v>
      </c>
      <c r="O3461" s="2" t="s">
        <v>2723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3233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1421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2417</v>
      </c>
      <c r="J3462" s="2" t="s">
        <v>2418</v>
      </c>
      <c r="L3462" s="2" t="s">
        <v>202</v>
      </c>
      <c r="M3462" s="2" t="s">
        <v>81</v>
      </c>
      <c r="O3462" s="2" t="s">
        <v>2724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3233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2725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3233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3233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2726</v>
      </c>
      <c r="P3465" s="2" t="s">
        <v>73</v>
      </c>
      <c r="Q3465" s="2" t="s">
        <v>2727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3233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1422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1275</v>
      </c>
      <c r="J3466" s="2" t="s">
        <v>2400</v>
      </c>
      <c r="L3466" s="2" t="s">
        <v>178</v>
      </c>
      <c r="M3466" s="2" t="s">
        <v>41</v>
      </c>
      <c r="P3466" s="2" t="s">
        <v>73</v>
      </c>
      <c r="Q3466" s="2" t="s">
        <v>2727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3233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3233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2728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3233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3233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2729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3233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2730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3233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2731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3233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2565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3233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1452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3233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1259</v>
      </c>
      <c r="P3475" s="2" t="s">
        <v>73</v>
      </c>
      <c r="Q3475" s="2" t="s">
        <v>1452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3233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2732</v>
      </c>
      <c r="P3476" s="2" t="s">
        <v>73</v>
      </c>
      <c r="Q3476" s="2" t="s">
        <v>1452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3233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2733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3233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1258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3233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2734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3233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2735</v>
      </c>
      <c r="P3480" s="2" t="s">
        <v>73</v>
      </c>
      <c r="Q3480" s="2" t="s">
        <v>2736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3233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3233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3140</v>
      </c>
      <c r="L3482" s="2" t="s">
        <v>178</v>
      </c>
      <c r="M3482" s="2" t="s">
        <v>41</v>
      </c>
      <c r="O3482" s="2" t="s">
        <v>2737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3233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2565</v>
      </c>
      <c r="M3483" s="2" t="s">
        <v>81</v>
      </c>
      <c r="O3483" s="2" t="s">
        <v>2738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3233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2739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3233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2484</v>
      </c>
      <c r="J3485" s="2" t="s">
        <v>1476</v>
      </c>
      <c r="K3485" s="2">
        <v>938183284</v>
      </c>
      <c r="L3485" s="2" t="s">
        <v>134</v>
      </c>
      <c r="M3485" s="2" t="s">
        <v>110</v>
      </c>
      <c r="O3485" s="2" t="s">
        <v>2740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3233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2741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3233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3233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2149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2742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3233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2743</v>
      </c>
      <c r="R3489" s="2" t="s">
        <v>2744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3233</v>
      </c>
      <c r="AA3489" s="2" t="s">
        <v>76</v>
      </c>
      <c r="AB3489" s="2" t="s">
        <v>77</v>
      </c>
      <c r="AC3489" s="2" t="s">
        <v>1040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3161</v>
      </c>
      <c r="L3490" s="2" t="s">
        <v>100</v>
      </c>
      <c r="M3490" s="2" t="s">
        <v>81</v>
      </c>
      <c r="O3490" s="2" t="s">
        <v>3160</v>
      </c>
      <c r="P3490" s="2" t="s">
        <v>1040</v>
      </c>
      <c r="Q3490" s="2" t="s">
        <v>1839</v>
      </c>
      <c r="R3490" s="2" t="s">
        <v>1840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3233</v>
      </c>
      <c r="AA3490" s="2" t="s">
        <v>76</v>
      </c>
      <c r="AB3490" s="2" t="s">
        <v>77</v>
      </c>
      <c r="AC3490" s="2" t="s">
        <v>1040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1558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1559</v>
      </c>
      <c r="J3491" s="2" t="s">
        <v>1560</v>
      </c>
      <c r="L3491" s="2" t="s">
        <v>100</v>
      </c>
      <c r="M3491" s="2" t="s">
        <v>41</v>
      </c>
      <c r="P3491" s="2" t="s">
        <v>1040</v>
      </c>
      <c r="Q3491" s="2" t="s">
        <v>2745</v>
      </c>
      <c r="R3491" s="2" t="s">
        <v>2746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3233</v>
      </c>
      <c r="AA3491" s="2" t="s">
        <v>76</v>
      </c>
      <c r="AB3491" s="2" t="s">
        <v>77</v>
      </c>
      <c r="AC3491" s="2" t="s">
        <v>1040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2747</v>
      </c>
      <c r="P3492" s="2" t="s">
        <v>1040</v>
      </c>
      <c r="Q3492" s="2" t="s">
        <v>1860</v>
      </c>
      <c r="R3492" s="2" t="s">
        <v>1861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3233</v>
      </c>
      <c r="AA3492" s="2" t="s">
        <v>76</v>
      </c>
      <c r="AB3492" s="2" t="s">
        <v>77</v>
      </c>
      <c r="AC3492" s="2" t="s">
        <v>1040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2563</v>
      </c>
      <c r="M3493" s="2" t="s">
        <v>81</v>
      </c>
      <c r="O3493" s="2" t="s">
        <v>3167</v>
      </c>
      <c r="P3493" s="2" t="s">
        <v>1040</v>
      </c>
      <c r="Q3493" s="2" t="s">
        <v>2748</v>
      </c>
      <c r="R3493" s="2" t="s">
        <v>2749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3233</v>
      </c>
      <c r="AA3493" s="2" t="s">
        <v>76</v>
      </c>
      <c r="AB3493" s="2" t="s">
        <v>77</v>
      </c>
      <c r="AC3493" s="2" t="s">
        <v>1040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2522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2523</v>
      </c>
      <c r="J3494" s="2" t="s">
        <v>2524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3233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2681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3233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hidden="1" x14ac:dyDescent="0.2">
      <c r="A3496" s="2">
        <v>2026</v>
      </c>
      <c r="B3496" s="2">
        <v>3</v>
      </c>
      <c r="D3496" s="2" t="s">
        <v>2522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2523</v>
      </c>
      <c r="J3496" s="2" t="s">
        <v>2524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3233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3233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hidden="1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3233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2700</v>
      </c>
      <c r="P3499" s="2" t="s">
        <v>85</v>
      </c>
      <c r="Q3499" s="2" t="s">
        <v>2750</v>
      </c>
      <c r="R3499" s="2" t="s">
        <v>2751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3233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2705</v>
      </c>
      <c r="P3500" s="2" t="s">
        <v>1196</v>
      </c>
      <c r="Q3500" s="2" t="s">
        <v>1717</v>
      </c>
      <c r="R3500" s="2" t="s">
        <v>1718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2752</v>
      </c>
      <c r="AB3500" s="2" t="s">
        <v>2753</v>
      </c>
      <c r="AC3500" s="2" t="s">
        <v>1196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2705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2754</v>
      </c>
      <c r="M3502" s="2" t="s">
        <v>41</v>
      </c>
      <c r="P3502" s="2" t="s">
        <v>1040</v>
      </c>
      <c r="Q3502" s="2" t="s">
        <v>2755</v>
      </c>
      <c r="R3502" s="2" t="s">
        <v>2756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3233</v>
      </c>
      <c r="AA3502" s="2" t="s">
        <v>1043</v>
      </c>
      <c r="AB3502" s="2" t="s">
        <v>2757</v>
      </c>
      <c r="AC3502" s="2" t="s">
        <v>1040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2758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2759</v>
      </c>
      <c r="J3503" s="2" t="s">
        <v>2760</v>
      </c>
      <c r="K3503" s="2">
        <v>962332957</v>
      </c>
      <c r="L3503" s="2" t="s">
        <v>113</v>
      </c>
      <c r="M3503" s="2" t="s">
        <v>110</v>
      </c>
      <c r="O3503" s="2" t="s">
        <v>2761</v>
      </c>
      <c r="P3503" s="2" t="s">
        <v>40</v>
      </c>
      <c r="Q3503" s="2" t="s">
        <v>2762</v>
      </c>
      <c r="R3503" s="2" t="s">
        <v>2763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430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813.00750000000016</v>
      </c>
      <c r="AL3503" s="5">
        <f t="shared" ref="AL3503:AL3566" si="431">(T3503-W3503)/T3503</f>
        <v>0.25000000000000006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2705</v>
      </c>
      <c r="P3504" s="2" t="s">
        <v>40</v>
      </c>
      <c r="Q3504" s="2" t="s">
        <v>2123</v>
      </c>
      <c r="R3504" s="2" t="s">
        <v>2124</v>
      </c>
      <c r="S3504" s="2">
        <v>1</v>
      </c>
      <c r="T3504" s="2">
        <v>1000</v>
      </c>
      <c r="U3504" s="2">
        <v>230</v>
      </c>
      <c r="V3504" s="2">
        <v>1230</v>
      </c>
      <c r="W3504" s="2">
        <f t="shared" ref="W3504:W3507" si="432">T3504*75%</f>
        <v>750</v>
      </c>
      <c r="X3504" s="5">
        <f t="shared" si="430"/>
        <v>0.25</v>
      </c>
      <c r="Z3504" s="2" t="s">
        <v>105</v>
      </c>
      <c r="AA3504" s="2" t="s">
        <v>120</v>
      </c>
      <c r="AB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250</v>
      </c>
      <c r="AL3504" s="5">
        <f t="shared" si="431"/>
        <v>0.25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2705</v>
      </c>
      <c r="P3505" s="2" t="s">
        <v>40</v>
      </c>
      <c r="Q3505" s="2" t="s">
        <v>2764</v>
      </c>
      <c r="R3505" s="2" t="s">
        <v>2765</v>
      </c>
      <c r="S3505" s="2">
        <v>1</v>
      </c>
      <c r="T3505" s="2">
        <v>1500</v>
      </c>
      <c r="U3505" s="2">
        <v>345</v>
      </c>
      <c r="V3505" s="2">
        <v>1845</v>
      </c>
      <c r="W3505" s="2">
        <f t="shared" si="432"/>
        <v>1125</v>
      </c>
      <c r="X3505" s="5">
        <f t="shared" si="430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375</v>
      </c>
      <c r="AL3505" s="5">
        <f t="shared" si="431"/>
        <v>0.25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2705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 t="shared" si="432"/>
        <v>1500</v>
      </c>
      <c r="X3506" s="5">
        <f t="shared" si="430"/>
        <v>0.25</v>
      </c>
      <c r="Z3506" s="2" t="s">
        <v>105</v>
      </c>
      <c r="AA3506" s="2" t="s">
        <v>617</v>
      </c>
      <c r="AB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500</v>
      </c>
      <c r="AL3506" s="5">
        <f t="shared" si="431"/>
        <v>0.25</v>
      </c>
    </row>
    <row r="3507" spans="1:38" hidden="1" x14ac:dyDescent="0.2">
      <c r="A3507" s="2">
        <v>2026</v>
      </c>
      <c r="B3507" s="2">
        <v>3</v>
      </c>
      <c r="D3507" s="2" t="s">
        <v>1913</v>
      </c>
      <c r="P3507" s="2" t="s">
        <v>40</v>
      </c>
      <c r="Q3507" s="2" t="s">
        <v>2766</v>
      </c>
      <c r="R3507" s="2" t="s">
        <v>2767</v>
      </c>
      <c r="S3507" s="2">
        <v>1</v>
      </c>
      <c r="T3507" s="2">
        <v>2000</v>
      </c>
      <c r="U3507" s="2">
        <v>460</v>
      </c>
      <c r="V3507" s="2">
        <v>2460</v>
      </c>
      <c r="W3507" s="2">
        <f t="shared" si="432"/>
        <v>1500</v>
      </c>
      <c r="X3507" s="5">
        <f t="shared" si="430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500</v>
      </c>
      <c r="AL3507" s="5">
        <f t="shared" si="431"/>
        <v>0.25</v>
      </c>
    </row>
    <row r="3508" spans="1:38" hidden="1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2768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hidden="1" x14ac:dyDescent="0.2">
      <c r="A3509" s="2">
        <v>2026</v>
      </c>
      <c r="B3509" s="2">
        <v>4</v>
      </c>
      <c r="D3509" s="2" t="s">
        <v>823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426"/>
        <v>0</v>
      </c>
      <c r="AG3509" s="2">
        <f t="shared" ref="AG3509:AG3519" si="433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hidden="1" x14ac:dyDescent="0.2">
      <c r="A3510" s="2">
        <v>2026</v>
      </c>
      <c r="B3510" s="2">
        <v>2</v>
      </c>
      <c r="D3510" s="2" t="s">
        <v>2769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426"/>
        <v>0</v>
      </c>
      <c r="AG3510" s="2">
        <f t="shared" si="433"/>
        <v>51.6</v>
      </c>
      <c r="AJ3510" s="2">
        <f t="shared" si="427"/>
        <v>0</v>
      </c>
      <c r="AK3510" s="2">
        <f t="shared" ref="AK3510:AK3573" si="434">T3510-W3510</f>
        <v>77.400000000000006</v>
      </c>
      <c r="AL3510" s="5">
        <f t="shared" si="431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2769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426"/>
        <v>0</v>
      </c>
      <c r="AG3511" s="2">
        <f t="shared" si="433"/>
        <v>27.5</v>
      </c>
      <c r="AJ3511" s="2">
        <f t="shared" si="427"/>
        <v>0</v>
      </c>
      <c r="AK3511" s="2">
        <f t="shared" si="434"/>
        <v>27.5</v>
      </c>
      <c r="AL3511" s="5">
        <f t="shared" si="431"/>
        <v>0.5</v>
      </c>
    </row>
    <row r="3512" spans="1:38" hidden="1" x14ac:dyDescent="0.2">
      <c r="A3512" s="2">
        <v>2026</v>
      </c>
      <c r="B3512" s="2">
        <v>1</v>
      </c>
      <c r="D3512" s="2" t="s">
        <v>2770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426"/>
        <v>0</v>
      </c>
      <c r="AG3512" s="2">
        <f t="shared" si="433"/>
        <v>106.80000000000001</v>
      </c>
      <c r="AJ3512" s="2">
        <f t="shared" si="427"/>
        <v>0</v>
      </c>
      <c r="AK3512" s="2">
        <f t="shared" si="434"/>
        <v>160.19999999999999</v>
      </c>
      <c r="AL3512" s="5">
        <f t="shared" si="431"/>
        <v>0.6</v>
      </c>
    </row>
    <row r="3513" spans="1:38" hidden="1" x14ac:dyDescent="0.2">
      <c r="A3513" s="2">
        <v>2026</v>
      </c>
      <c r="B3513" s="2">
        <v>1</v>
      </c>
      <c r="D3513" s="2" t="s">
        <v>2770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426"/>
        <v>0</v>
      </c>
      <c r="AG3513" s="2">
        <f t="shared" si="433"/>
        <v>37.5</v>
      </c>
      <c r="AJ3513" s="2">
        <f t="shared" si="427"/>
        <v>0</v>
      </c>
      <c r="AK3513" s="2">
        <f t="shared" si="434"/>
        <v>37.5</v>
      </c>
      <c r="AL3513" s="5">
        <f t="shared" si="431"/>
        <v>0.5</v>
      </c>
    </row>
    <row r="3514" spans="1:38" hidden="1" x14ac:dyDescent="0.2">
      <c r="A3514" s="2">
        <v>2026</v>
      </c>
      <c r="B3514" s="2">
        <v>4</v>
      </c>
      <c r="D3514" s="2" t="s">
        <v>2771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426"/>
        <v>0</v>
      </c>
      <c r="AG3514" s="2">
        <f t="shared" si="433"/>
        <v>72</v>
      </c>
      <c r="AJ3514" s="2">
        <f t="shared" si="427"/>
        <v>0</v>
      </c>
      <c r="AK3514" s="2">
        <f t="shared" si="434"/>
        <v>108</v>
      </c>
      <c r="AL3514" s="5">
        <f t="shared" si="431"/>
        <v>0.6</v>
      </c>
    </row>
    <row r="3515" spans="1:38" hidden="1" x14ac:dyDescent="0.2">
      <c r="A3515" s="2">
        <v>2026</v>
      </c>
      <c r="B3515" s="2">
        <v>4</v>
      </c>
      <c r="D3515" s="2" t="s">
        <v>2771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426"/>
        <v>0</v>
      </c>
      <c r="AG3515" s="2">
        <f t="shared" si="433"/>
        <v>20.625</v>
      </c>
      <c r="AJ3515" s="2">
        <f t="shared" si="427"/>
        <v>0</v>
      </c>
      <c r="AK3515" s="2">
        <f t="shared" si="434"/>
        <v>20.625</v>
      </c>
      <c r="AL3515" s="5">
        <f t="shared" si="431"/>
        <v>0.5</v>
      </c>
    </row>
    <row r="3516" spans="1:38" hidden="1" x14ac:dyDescent="0.2">
      <c r="A3516" s="2">
        <v>2026</v>
      </c>
      <c r="B3516" s="2">
        <v>4</v>
      </c>
      <c r="D3516" s="2" t="s">
        <v>2772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426"/>
        <v>0</v>
      </c>
      <c r="AG3516" s="2">
        <f t="shared" si="433"/>
        <v>48</v>
      </c>
      <c r="AJ3516" s="2">
        <f t="shared" si="427"/>
        <v>0</v>
      </c>
      <c r="AK3516" s="2">
        <f t="shared" si="434"/>
        <v>72</v>
      </c>
      <c r="AL3516" s="5">
        <f t="shared" si="431"/>
        <v>0.6</v>
      </c>
    </row>
    <row r="3517" spans="1:38" hidden="1" x14ac:dyDescent="0.2">
      <c r="A3517" s="2">
        <v>2026</v>
      </c>
      <c r="B3517" s="2">
        <v>4</v>
      </c>
      <c r="D3517" s="2" t="s">
        <v>2772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426"/>
        <v>0</v>
      </c>
      <c r="AG3517" s="2">
        <f t="shared" si="433"/>
        <v>27.5</v>
      </c>
      <c r="AJ3517" s="2">
        <f t="shared" si="427"/>
        <v>0</v>
      </c>
      <c r="AK3517" s="2">
        <f t="shared" si="434"/>
        <v>27.5</v>
      </c>
      <c r="AL3517" s="5">
        <f t="shared" si="431"/>
        <v>0.5</v>
      </c>
    </row>
    <row r="3518" spans="1:38" hidden="1" x14ac:dyDescent="0.2">
      <c r="A3518" s="2">
        <v>2026</v>
      </c>
      <c r="B3518" s="2">
        <v>1</v>
      </c>
      <c r="D3518" s="2" t="s">
        <v>1400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3223</v>
      </c>
      <c r="J3518" s="2" t="s">
        <v>3222</v>
      </c>
      <c r="K3518" s="2">
        <v>913814877</v>
      </c>
      <c r="L3518" s="2" t="s">
        <v>202</v>
      </c>
      <c r="M3518" s="2" t="s">
        <v>40</v>
      </c>
      <c r="O3518" s="2" t="s">
        <v>3218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426"/>
        <v>0</v>
      </c>
      <c r="AG3518" s="2">
        <f t="shared" si="433"/>
        <v>22</v>
      </c>
      <c r="AJ3518" s="2">
        <f t="shared" si="427"/>
        <v>0</v>
      </c>
      <c r="AK3518" s="2">
        <f t="shared" si="434"/>
        <v>33</v>
      </c>
      <c r="AL3518" s="5">
        <f t="shared" si="431"/>
        <v>0.6</v>
      </c>
    </row>
    <row r="3519" spans="1:38" hidden="1" x14ac:dyDescent="0.2">
      <c r="A3519" s="2">
        <v>2026</v>
      </c>
      <c r="B3519" s="2">
        <v>1</v>
      </c>
      <c r="D3519" s="2" t="s">
        <v>1400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3223</v>
      </c>
      <c r="J3519" s="2" t="s">
        <v>3222</v>
      </c>
      <c r="K3519" s="2">
        <v>913814877</v>
      </c>
      <c r="L3519" s="2" t="s">
        <v>202</v>
      </c>
      <c r="M3519" s="2" t="s">
        <v>40</v>
      </c>
      <c r="O3519" s="2" t="s">
        <v>3218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>AJ3519</f>
        <v>0</v>
      </c>
      <c r="AG3519" s="2">
        <f t="shared" si="433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2773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2774</v>
      </c>
      <c r="L3520" s="2" t="s">
        <v>134</v>
      </c>
      <c r="M3520" s="2" t="s">
        <v>81</v>
      </c>
      <c r="O3520" s="2" t="s">
        <v>2775</v>
      </c>
      <c r="P3520" s="2" t="s">
        <v>1040</v>
      </c>
      <c r="Q3520" s="2" t="s">
        <v>1271</v>
      </c>
      <c r="R3520" s="2" t="s">
        <v>1272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3233</v>
      </c>
      <c r="AA3520" s="2" t="s">
        <v>1043</v>
      </c>
      <c r="AB3520" s="2" t="s">
        <v>1273</v>
      </c>
      <c r="AC3520" s="2" t="s">
        <v>1040</v>
      </c>
      <c r="AF3520" s="2">
        <f t="shared" si="426"/>
        <v>0</v>
      </c>
      <c r="AJ3520" s="2">
        <f t="shared" si="427"/>
        <v>0</v>
      </c>
      <c r="AK3520" s="2">
        <f t="shared" si="434"/>
        <v>275.83999999999997</v>
      </c>
      <c r="AL3520" s="5">
        <f t="shared" si="431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2776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426"/>
        <v>0</v>
      </c>
      <c r="AG3521" s="2">
        <f t="shared" ref="AG3521:AG3532" si="435">W3521</f>
        <v>24</v>
      </c>
      <c r="AJ3521" s="2">
        <f t="shared" si="427"/>
        <v>0</v>
      </c>
      <c r="AK3521" s="2">
        <f t="shared" si="434"/>
        <v>36</v>
      </c>
      <c r="AL3521" s="5">
        <f t="shared" si="431"/>
        <v>0.6</v>
      </c>
    </row>
    <row r="3522" spans="1:38" hidden="1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2776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6">T3522*50%</f>
        <v>55</v>
      </c>
      <c r="X3522" s="5">
        <f t="shared" si="430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si="426"/>
        <v>0</v>
      </c>
      <c r="AG3522" s="2">
        <f t="shared" si="435"/>
        <v>55</v>
      </c>
      <c r="AJ3522" s="2">
        <f t="shared" si="427"/>
        <v>0</v>
      </c>
      <c r="AK3522" s="2">
        <f t="shared" si="434"/>
        <v>55</v>
      </c>
      <c r="AL3522" s="5">
        <f t="shared" si="431"/>
        <v>0.5</v>
      </c>
    </row>
    <row r="3523" spans="1:38" hidden="1" x14ac:dyDescent="0.2">
      <c r="A3523" s="2">
        <v>2026</v>
      </c>
      <c r="B3523" s="2">
        <v>3</v>
      </c>
      <c r="C3523" s="2" t="s">
        <v>3327</v>
      </c>
      <c r="D3523" s="2" t="s">
        <v>2156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6"/>
        <v>25</v>
      </c>
      <c r="X3523" s="5">
        <f t="shared" si="430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ref="AF3523:AF3586" si="437">AJ3523</f>
        <v>0</v>
      </c>
      <c r="AG3523" s="2">
        <f t="shared" si="435"/>
        <v>25</v>
      </c>
      <c r="AJ3523" s="2">
        <f t="shared" ref="AJ3523:AJ3586" si="438">AI3523*T3523</f>
        <v>0</v>
      </c>
      <c r="AK3523" s="2">
        <f t="shared" si="434"/>
        <v>25</v>
      </c>
      <c r="AL3523" s="5">
        <f t="shared" si="431"/>
        <v>0.5</v>
      </c>
    </row>
    <row r="3524" spans="1:38" hidden="1" x14ac:dyDescent="0.2">
      <c r="A3524" s="2">
        <v>2026</v>
      </c>
      <c r="B3524" s="2">
        <v>4</v>
      </c>
      <c r="D3524" s="2" t="s">
        <v>2777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9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437"/>
        <v>0</v>
      </c>
      <c r="AG3524" s="2">
        <f t="shared" si="435"/>
        <v>149.6</v>
      </c>
      <c r="AJ3524" s="2">
        <f t="shared" si="438"/>
        <v>0</v>
      </c>
      <c r="AK3524" s="2">
        <f t="shared" si="434"/>
        <v>224.4</v>
      </c>
      <c r="AL3524" s="5">
        <f t="shared" si="431"/>
        <v>0.6</v>
      </c>
    </row>
    <row r="3525" spans="1:38" hidden="1" x14ac:dyDescent="0.2">
      <c r="A3525" s="2">
        <v>2026</v>
      </c>
      <c r="B3525" s="2">
        <v>4</v>
      </c>
      <c r="D3525" s="2" t="s">
        <v>2777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9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437"/>
        <v>0</v>
      </c>
      <c r="AG3525" s="2">
        <f t="shared" si="435"/>
        <v>110</v>
      </c>
      <c r="AJ3525" s="2">
        <f t="shared" si="438"/>
        <v>0</v>
      </c>
      <c r="AK3525" s="2">
        <f t="shared" si="434"/>
        <v>110</v>
      </c>
      <c r="AL3525" s="5">
        <f t="shared" si="431"/>
        <v>0.5</v>
      </c>
    </row>
    <row r="3526" spans="1:38" hidden="1" x14ac:dyDescent="0.2">
      <c r="A3526" s="2">
        <v>2026</v>
      </c>
      <c r="B3526" s="2">
        <v>1</v>
      </c>
      <c r="D3526" s="2" t="s">
        <v>1587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9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437"/>
        <v>0</v>
      </c>
      <c r="AG3526" s="2">
        <f t="shared" si="435"/>
        <v>20</v>
      </c>
      <c r="AJ3526" s="2">
        <f t="shared" si="438"/>
        <v>0</v>
      </c>
      <c r="AK3526" s="2">
        <f t="shared" si="434"/>
        <v>30</v>
      </c>
      <c r="AL3526" s="5">
        <f t="shared" si="431"/>
        <v>0.6</v>
      </c>
    </row>
    <row r="3527" spans="1:38" hidden="1" x14ac:dyDescent="0.2">
      <c r="A3527" s="2">
        <v>2026</v>
      </c>
      <c r="B3527" s="2">
        <v>1</v>
      </c>
      <c r="D3527" s="2" t="s">
        <v>1587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9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437"/>
        <v>0</v>
      </c>
      <c r="AG3527" s="2">
        <f t="shared" si="435"/>
        <v>31.25</v>
      </c>
      <c r="AJ3527" s="2">
        <f t="shared" si="438"/>
        <v>0</v>
      </c>
      <c r="AK3527" s="2">
        <f t="shared" si="434"/>
        <v>31.25</v>
      </c>
      <c r="AL3527" s="5">
        <f t="shared" si="431"/>
        <v>0.5</v>
      </c>
    </row>
    <row r="3528" spans="1:38" hidden="1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9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437"/>
        <v>0</v>
      </c>
      <c r="AG3528" s="2">
        <f t="shared" si="435"/>
        <v>20</v>
      </c>
      <c r="AJ3528" s="2">
        <f t="shared" si="438"/>
        <v>0</v>
      </c>
      <c r="AK3528" s="2">
        <f t="shared" si="434"/>
        <v>30</v>
      </c>
      <c r="AL3528" s="5">
        <f t="shared" si="431"/>
        <v>0.6</v>
      </c>
    </row>
    <row r="3529" spans="1:38" hidden="1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9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437"/>
        <v>0</v>
      </c>
      <c r="AG3529" s="2">
        <f t="shared" si="435"/>
        <v>75</v>
      </c>
      <c r="AJ3529" s="2">
        <f t="shared" si="438"/>
        <v>0</v>
      </c>
      <c r="AK3529" s="2">
        <f t="shared" si="434"/>
        <v>75</v>
      </c>
      <c r="AL3529" s="5">
        <f t="shared" si="431"/>
        <v>0.5</v>
      </c>
    </row>
    <row r="3530" spans="1:38" hidden="1" x14ac:dyDescent="0.2">
      <c r="A3530" s="2">
        <v>2026</v>
      </c>
      <c r="B3530" s="2">
        <v>2</v>
      </c>
      <c r="D3530" s="2" t="s">
        <v>2159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9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437"/>
        <v>0</v>
      </c>
      <c r="AG3530" s="2">
        <f t="shared" si="435"/>
        <v>96</v>
      </c>
      <c r="AJ3530" s="2">
        <f t="shared" si="438"/>
        <v>0</v>
      </c>
      <c r="AK3530" s="2">
        <f t="shared" si="434"/>
        <v>144</v>
      </c>
      <c r="AL3530" s="5">
        <f t="shared" si="431"/>
        <v>0.6</v>
      </c>
    </row>
    <row r="3531" spans="1:38" hidden="1" x14ac:dyDescent="0.2">
      <c r="A3531" s="2">
        <v>2026</v>
      </c>
      <c r="B3531" s="2">
        <v>2</v>
      </c>
      <c r="D3531" s="2" t="s">
        <v>2159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9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437"/>
        <v>0</v>
      </c>
      <c r="AG3531" s="2">
        <f t="shared" si="435"/>
        <v>200</v>
      </c>
      <c r="AJ3531" s="2">
        <f t="shared" si="438"/>
        <v>0</v>
      </c>
      <c r="AK3531" s="2">
        <f t="shared" si="434"/>
        <v>200</v>
      </c>
      <c r="AL3531" s="5">
        <f t="shared" si="431"/>
        <v>0.5</v>
      </c>
    </row>
    <row r="3532" spans="1:38" hidden="1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9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437"/>
        <v>0</v>
      </c>
      <c r="AG3532" s="2">
        <f t="shared" si="435"/>
        <v>44</v>
      </c>
      <c r="AJ3532" s="2">
        <f t="shared" si="438"/>
        <v>0</v>
      </c>
      <c r="AK3532" s="2">
        <f t="shared" si="434"/>
        <v>66</v>
      </c>
      <c r="AL3532" s="5">
        <f t="shared" si="431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9"/>
        <v>1</v>
      </c>
      <c r="Z3533" s="2" t="s">
        <v>170</v>
      </c>
      <c r="AA3533" s="2" t="s">
        <v>170</v>
      </c>
      <c r="AF3533" s="2">
        <f t="shared" si="437"/>
        <v>0</v>
      </c>
      <c r="AJ3533" s="2">
        <f t="shared" si="438"/>
        <v>0</v>
      </c>
      <c r="AK3533" s="2">
        <f t="shared" si="434"/>
        <v>39.39</v>
      </c>
      <c r="AL3533" s="5">
        <f t="shared" si="431"/>
        <v>1</v>
      </c>
    </row>
    <row r="3534" spans="1:38" hidden="1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2747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9"/>
        <v>0.23333333333333334</v>
      </c>
      <c r="Z3534" s="2" t="s">
        <v>170</v>
      </c>
      <c r="AA3534" s="2" t="s">
        <v>170</v>
      </c>
      <c r="AF3534" s="2">
        <f t="shared" si="437"/>
        <v>0</v>
      </c>
      <c r="AG3534" s="2">
        <v>23</v>
      </c>
      <c r="AJ3534" s="2">
        <f t="shared" si="438"/>
        <v>0</v>
      </c>
      <c r="AK3534" s="2">
        <f t="shared" si="434"/>
        <v>7</v>
      </c>
      <c r="AL3534" s="5">
        <f t="shared" si="431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2563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9"/>
        <v>1</v>
      </c>
      <c r="Z3535" s="2" t="s">
        <v>170</v>
      </c>
      <c r="AA3535" s="2" t="s">
        <v>170</v>
      </c>
      <c r="AF3535" s="2">
        <f t="shared" si="437"/>
        <v>0</v>
      </c>
      <c r="AJ3535" s="2">
        <f t="shared" si="438"/>
        <v>0</v>
      </c>
      <c r="AK3535" s="2">
        <f t="shared" si="434"/>
        <v>15</v>
      </c>
      <c r="AL3535" s="5">
        <f t="shared" si="431"/>
        <v>1</v>
      </c>
    </row>
    <row r="3536" spans="1:38" hidden="1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2676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9"/>
        <v>1</v>
      </c>
      <c r="Z3536" s="2" t="s">
        <v>170</v>
      </c>
      <c r="AA3536" s="2" t="s">
        <v>170</v>
      </c>
      <c r="AF3536" s="2">
        <f t="shared" si="437"/>
        <v>0</v>
      </c>
      <c r="AJ3536" s="2">
        <f t="shared" si="438"/>
        <v>0</v>
      </c>
      <c r="AK3536" s="2">
        <f t="shared" si="434"/>
        <v>5</v>
      </c>
      <c r="AL3536" s="5">
        <f t="shared" si="431"/>
        <v>1</v>
      </c>
    </row>
    <row r="3537" spans="1:38" hidden="1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2619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9"/>
        <v>1</v>
      </c>
      <c r="Z3537" s="2" t="s">
        <v>3233</v>
      </c>
      <c r="AA3537" s="2" t="s">
        <v>88</v>
      </c>
      <c r="AB3537" s="2" t="s">
        <v>91</v>
      </c>
      <c r="AC3537" s="2" t="s">
        <v>85</v>
      </c>
      <c r="AF3537" s="2">
        <f t="shared" si="437"/>
        <v>0</v>
      </c>
      <c r="AJ3537" s="2">
        <f t="shared" si="438"/>
        <v>0</v>
      </c>
      <c r="AK3537" s="2">
        <f t="shared" si="434"/>
        <v>15.4</v>
      </c>
      <c r="AL3537" s="5">
        <f t="shared" si="431"/>
        <v>1</v>
      </c>
    </row>
    <row r="3538" spans="1:38" hidden="1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9"/>
        <v>1</v>
      </c>
      <c r="Z3538" s="2" t="s">
        <v>170</v>
      </c>
      <c r="AA3538" s="2" t="s">
        <v>170</v>
      </c>
      <c r="AF3538" s="2">
        <f t="shared" si="437"/>
        <v>0</v>
      </c>
      <c r="AJ3538" s="2">
        <f t="shared" si="438"/>
        <v>0</v>
      </c>
      <c r="AK3538" s="2">
        <f t="shared" si="434"/>
        <v>5</v>
      </c>
      <c r="AL3538" s="5">
        <f t="shared" si="431"/>
        <v>1</v>
      </c>
    </row>
    <row r="3539" spans="1:38" hidden="1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7"/>
        <v>0</v>
      </c>
      <c r="AJ3539" s="2">
        <f t="shared" si="438"/>
        <v>0</v>
      </c>
    </row>
    <row r="3540" spans="1:38" hidden="1" x14ac:dyDescent="0.2">
      <c r="A3540" s="2">
        <v>2026</v>
      </c>
      <c r="B3540" s="2">
        <v>3</v>
      </c>
      <c r="D3540" s="2" t="s">
        <v>1665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7"/>
        <v>0</v>
      </c>
      <c r="AJ3540" s="2">
        <f t="shared" si="438"/>
        <v>0</v>
      </c>
    </row>
    <row r="3541" spans="1:38" hidden="1" x14ac:dyDescent="0.2">
      <c r="A3541" s="2">
        <v>2026</v>
      </c>
      <c r="B3541" s="2">
        <v>3</v>
      </c>
      <c r="D3541" s="2" t="s">
        <v>1358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1359</v>
      </c>
      <c r="L3541" s="2" t="s">
        <v>419</v>
      </c>
      <c r="M3541" s="2" t="s">
        <v>40</v>
      </c>
      <c r="P3541" s="2" t="s">
        <v>188</v>
      </c>
      <c r="Q3541" s="2" t="s">
        <v>1311</v>
      </c>
      <c r="R3541" s="2" t="s">
        <v>1312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40">(T3541-W3541)/T3541</f>
        <v>1</v>
      </c>
      <c r="Z3541" s="2" t="s">
        <v>118</v>
      </c>
      <c r="AA3541" s="2" t="s">
        <v>1313</v>
      </c>
      <c r="AF3541" s="2">
        <f t="shared" si="437"/>
        <v>0</v>
      </c>
      <c r="AJ3541" s="2">
        <f t="shared" si="438"/>
        <v>0</v>
      </c>
      <c r="AK3541" s="2">
        <f t="shared" si="434"/>
        <v>111</v>
      </c>
      <c r="AL3541" s="5">
        <f t="shared" si="431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2778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40"/>
        <v>2.000401846171453E-16</v>
      </c>
      <c r="Z3542" s="2" t="s">
        <v>3233</v>
      </c>
      <c r="AA3542" s="2" t="s">
        <v>97</v>
      </c>
      <c r="AB3542" s="2" t="s">
        <v>77</v>
      </c>
      <c r="AC3542" s="2" t="s">
        <v>94</v>
      </c>
      <c r="AF3542" s="2">
        <f t="shared" si="437"/>
        <v>0</v>
      </c>
      <c r="AJ3542" s="2">
        <f t="shared" si="438"/>
        <v>0</v>
      </c>
      <c r="AK3542" s="2">
        <f t="shared" si="434"/>
        <v>0</v>
      </c>
      <c r="AL3542" s="5">
        <f t="shared" si="431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2733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40"/>
        <v>0</v>
      </c>
      <c r="Z3543" s="2" t="s">
        <v>3233</v>
      </c>
      <c r="AA3543" s="2" t="s">
        <v>97</v>
      </c>
      <c r="AB3543" s="2" t="s">
        <v>77</v>
      </c>
      <c r="AC3543" s="2" t="s">
        <v>94</v>
      </c>
      <c r="AF3543" s="2">
        <f t="shared" si="437"/>
        <v>0</v>
      </c>
      <c r="AJ3543" s="2">
        <f t="shared" si="438"/>
        <v>0</v>
      </c>
      <c r="AK3543" s="2">
        <f t="shared" si="434"/>
        <v>0</v>
      </c>
      <c r="AL3543" s="5">
        <f t="shared" si="431"/>
        <v>0</v>
      </c>
    </row>
    <row r="3544" spans="1:38" hidden="1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2747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40"/>
        <v>0</v>
      </c>
      <c r="Z3544" s="2" t="s">
        <v>3233</v>
      </c>
      <c r="AA3544" s="2" t="s">
        <v>97</v>
      </c>
      <c r="AB3544" s="2" t="s">
        <v>77</v>
      </c>
      <c r="AC3544" s="2" t="s">
        <v>94</v>
      </c>
      <c r="AF3544" s="2">
        <f t="shared" si="437"/>
        <v>0</v>
      </c>
      <c r="AG3544" s="2">
        <v>1.48</v>
      </c>
      <c r="AH3544" s="2">
        <v>1.48</v>
      </c>
      <c r="AJ3544" s="2">
        <f t="shared" si="438"/>
        <v>0</v>
      </c>
      <c r="AK3544" s="2">
        <f t="shared" si="434"/>
        <v>0</v>
      </c>
      <c r="AL3544" s="5">
        <f t="shared" si="431"/>
        <v>0</v>
      </c>
    </row>
    <row r="3545" spans="1:38" hidden="1" x14ac:dyDescent="0.2">
      <c r="A3545" s="2">
        <v>2026</v>
      </c>
      <c r="B3545" s="2">
        <v>3</v>
      </c>
      <c r="D3545" s="2" t="s">
        <v>2729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40"/>
        <v>0</v>
      </c>
      <c r="Z3545" s="2" t="s">
        <v>3233</v>
      </c>
      <c r="AA3545" s="2" t="s">
        <v>97</v>
      </c>
      <c r="AB3545" s="2" t="s">
        <v>77</v>
      </c>
      <c r="AC3545" s="2" t="s">
        <v>94</v>
      </c>
      <c r="AF3545" s="2">
        <f t="shared" si="437"/>
        <v>0</v>
      </c>
      <c r="AJ3545" s="2">
        <f t="shared" si="438"/>
        <v>0</v>
      </c>
      <c r="AK3545" s="2">
        <f t="shared" si="434"/>
        <v>0</v>
      </c>
      <c r="AL3545" s="5">
        <f t="shared" si="431"/>
        <v>0</v>
      </c>
    </row>
    <row r="3546" spans="1:38" hidden="1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2484</v>
      </c>
      <c r="J3546" s="2" t="s">
        <v>1476</v>
      </c>
      <c r="K3546" s="2">
        <v>938183284</v>
      </c>
      <c r="L3546" s="2" t="s">
        <v>134</v>
      </c>
      <c r="M3546" s="2" t="s">
        <v>110</v>
      </c>
      <c r="O3546" s="2" t="s">
        <v>2740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40"/>
        <v>0</v>
      </c>
      <c r="Z3546" s="2" t="s">
        <v>3233</v>
      </c>
      <c r="AA3546" s="2" t="s">
        <v>97</v>
      </c>
      <c r="AB3546" s="2" t="s">
        <v>77</v>
      </c>
      <c r="AC3546" s="2" t="s">
        <v>94</v>
      </c>
      <c r="AF3546" s="2">
        <f t="shared" si="437"/>
        <v>0</v>
      </c>
      <c r="AJ3546" s="2">
        <f t="shared" si="438"/>
        <v>0</v>
      </c>
      <c r="AK3546" s="2">
        <f t="shared" si="434"/>
        <v>0</v>
      </c>
      <c r="AL3546" s="5">
        <f t="shared" si="431"/>
        <v>0</v>
      </c>
    </row>
    <row r="3547" spans="1:38" hidden="1" x14ac:dyDescent="0.2">
      <c r="A3547" s="2">
        <v>2026</v>
      </c>
      <c r="B3547" s="2">
        <v>3</v>
      </c>
      <c r="C3547" s="2" t="s">
        <v>3327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3233</v>
      </c>
      <c r="AA3547" s="2" t="s">
        <v>97</v>
      </c>
      <c r="AB3547" s="2" t="s">
        <v>77</v>
      </c>
      <c r="AC3547" s="2" t="s">
        <v>94</v>
      </c>
      <c r="AF3547" s="2">
        <f t="shared" si="437"/>
        <v>0</v>
      </c>
      <c r="AJ3547" s="2">
        <f t="shared" si="438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1">(T3548-W3548)/T3548</f>
        <v>0</v>
      </c>
      <c r="Z3548" s="2" t="s">
        <v>3233</v>
      </c>
      <c r="AA3548" s="2" t="s">
        <v>97</v>
      </c>
      <c r="AB3548" s="2" t="s">
        <v>77</v>
      </c>
      <c r="AC3548" s="2" t="s">
        <v>94</v>
      </c>
      <c r="AF3548" s="2">
        <f t="shared" si="437"/>
        <v>0</v>
      </c>
      <c r="AJ3548" s="2">
        <f t="shared" si="438"/>
        <v>0</v>
      </c>
      <c r="AK3548" s="2">
        <f t="shared" si="434"/>
        <v>0</v>
      </c>
      <c r="AL3548" s="5">
        <f t="shared" si="431"/>
        <v>0</v>
      </c>
    </row>
    <row r="3549" spans="1:38" hidden="1" x14ac:dyDescent="0.2">
      <c r="A3549" s="2">
        <v>2026</v>
      </c>
      <c r="B3549" s="2">
        <v>3</v>
      </c>
      <c r="D3549" s="2" t="s">
        <v>2735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1"/>
        <v>0</v>
      </c>
      <c r="Z3549" s="2" t="s">
        <v>3233</v>
      </c>
      <c r="AA3549" s="2" t="s">
        <v>97</v>
      </c>
      <c r="AB3549" s="2" t="s">
        <v>77</v>
      </c>
      <c r="AC3549" s="2" t="s">
        <v>94</v>
      </c>
      <c r="AF3549" s="2">
        <f t="shared" si="437"/>
        <v>0</v>
      </c>
      <c r="AJ3549" s="2">
        <f t="shared" si="438"/>
        <v>0</v>
      </c>
      <c r="AK3549" s="2">
        <f t="shared" si="434"/>
        <v>0</v>
      </c>
      <c r="AL3549" s="5">
        <f t="shared" si="431"/>
        <v>0</v>
      </c>
    </row>
    <row r="3550" spans="1:38" hidden="1" x14ac:dyDescent="0.2">
      <c r="A3550" s="2">
        <v>2026</v>
      </c>
      <c r="B3550" s="2">
        <v>3</v>
      </c>
      <c r="D3550" s="2" t="s">
        <v>2563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1"/>
        <v>0</v>
      </c>
      <c r="Z3550" s="2" t="s">
        <v>3233</v>
      </c>
      <c r="AA3550" s="2" t="s">
        <v>97</v>
      </c>
      <c r="AB3550" s="2" t="s">
        <v>77</v>
      </c>
      <c r="AC3550" s="2" t="s">
        <v>94</v>
      </c>
      <c r="AF3550" s="2">
        <f t="shared" si="437"/>
        <v>0</v>
      </c>
      <c r="AJ3550" s="2">
        <f t="shared" si="438"/>
        <v>0</v>
      </c>
      <c r="AK3550" s="2">
        <f t="shared" si="434"/>
        <v>0</v>
      </c>
      <c r="AL3550" s="5">
        <f t="shared" si="431"/>
        <v>0</v>
      </c>
    </row>
    <row r="3551" spans="1:38" hidden="1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1"/>
        <v>0</v>
      </c>
      <c r="Z3551" s="2" t="s">
        <v>3233</v>
      </c>
      <c r="AA3551" s="2" t="s">
        <v>97</v>
      </c>
      <c r="AB3551" s="2" t="s">
        <v>77</v>
      </c>
      <c r="AC3551" s="2" t="s">
        <v>94</v>
      </c>
      <c r="AF3551" s="2">
        <f t="shared" si="437"/>
        <v>0</v>
      </c>
      <c r="AJ3551" s="2">
        <f t="shared" si="438"/>
        <v>0</v>
      </c>
      <c r="AK3551" s="2">
        <f t="shared" si="434"/>
        <v>0</v>
      </c>
      <c r="AL3551" s="5">
        <f t="shared" si="431"/>
        <v>0</v>
      </c>
    </row>
    <row r="3552" spans="1:38" hidden="1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1"/>
        <v>0</v>
      </c>
      <c r="Z3552" s="2" t="s">
        <v>3233</v>
      </c>
      <c r="AA3552" s="2" t="s">
        <v>97</v>
      </c>
      <c r="AB3552" s="2" t="s">
        <v>77</v>
      </c>
      <c r="AC3552" s="2" t="s">
        <v>94</v>
      </c>
      <c r="AF3552" s="2">
        <f t="shared" si="437"/>
        <v>0</v>
      </c>
      <c r="AJ3552" s="2">
        <f t="shared" si="438"/>
        <v>0</v>
      </c>
      <c r="AK3552" s="2">
        <f t="shared" si="434"/>
        <v>0</v>
      </c>
      <c r="AL3552" s="5">
        <f t="shared" si="431"/>
        <v>0</v>
      </c>
    </row>
    <row r="3553" spans="1:38" hidden="1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1"/>
        <v>0</v>
      </c>
      <c r="Z3553" s="2" t="s">
        <v>3233</v>
      </c>
      <c r="AA3553" s="2" t="s">
        <v>97</v>
      </c>
      <c r="AB3553" s="2" t="s">
        <v>77</v>
      </c>
      <c r="AC3553" s="2" t="s">
        <v>94</v>
      </c>
      <c r="AF3553" s="2">
        <f t="shared" si="437"/>
        <v>0</v>
      </c>
      <c r="AJ3553" s="2">
        <f t="shared" si="438"/>
        <v>0</v>
      </c>
      <c r="AK3553" s="2">
        <f t="shared" si="434"/>
        <v>0</v>
      </c>
      <c r="AL3553" s="5">
        <f t="shared" si="431"/>
        <v>0</v>
      </c>
    </row>
    <row r="3554" spans="1:38" hidden="1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2716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1"/>
        <v>0</v>
      </c>
      <c r="Z3554" s="2" t="s">
        <v>3233</v>
      </c>
      <c r="AA3554" s="2" t="s">
        <v>97</v>
      </c>
      <c r="AB3554" s="2" t="s">
        <v>77</v>
      </c>
      <c r="AC3554" s="2" t="s">
        <v>94</v>
      </c>
      <c r="AF3554" s="2">
        <f t="shared" si="437"/>
        <v>0</v>
      </c>
      <c r="AJ3554" s="2">
        <f t="shared" si="438"/>
        <v>0</v>
      </c>
      <c r="AK3554" s="2">
        <f t="shared" si="434"/>
        <v>0</v>
      </c>
      <c r="AL3554" s="5">
        <f t="shared" si="431"/>
        <v>0</v>
      </c>
    </row>
    <row r="3555" spans="1:38" hidden="1" x14ac:dyDescent="0.2">
      <c r="A3555" s="2">
        <v>2026</v>
      </c>
      <c r="B3555" s="2">
        <v>3</v>
      </c>
      <c r="D3555" s="2" t="s">
        <v>1558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1559</v>
      </c>
      <c r="J3555" s="2" t="s">
        <v>1560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1"/>
        <v>0</v>
      </c>
      <c r="Z3555" s="2" t="s">
        <v>3233</v>
      </c>
      <c r="AA3555" s="2" t="s">
        <v>97</v>
      </c>
      <c r="AB3555" s="2" t="s">
        <v>77</v>
      </c>
      <c r="AC3555" s="2" t="s">
        <v>94</v>
      </c>
      <c r="AF3555" s="2">
        <f t="shared" si="437"/>
        <v>0</v>
      </c>
      <c r="AJ3555" s="2">
        <f t="shared" si="438"/>
        <v>0</v>
      </c>
      <c r="AK3555" s="2">
        <f t="shared" si="434"/>
        <v>0</v>
      </c>
      <c r="AL3555" s="5">
        <f t="shared" si="431"/>
        <v>0</v>
      </c>
    </row>
    <row r="3556" spans="1:38" hidden="1" x14ac:dyDescent="0.2">
      <c r="A3556" s="2">
        <v>2026</v>
      </c>
      <c r="B3556" s="2">
        <v>3</v>
      </c>
      <c r="D3556" s="2" t="s">
        <v>2720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1"/>
        <v>0</v>
      </c>
      <c r="Z3556" s="2" t="s">
        <v>3233</v>
      </c>
      <c r="AA3556" s="2" t="s">
        <v>97</v>
      </c>
      <c r="AB3556" s="2" t="s">
        <v>77</v>
      </c>
      <c r="AC3556" s="2" t="s">
        <v>94</v>
      </c>
      <c r="AF3556" s="2">
        <f t="shared" si="437"/>
        <v>0</v>
      </c>
      <c r="AJ3556" s="2">
        <f t="shared" si="438"/>
        <v>0</v>
      </c>
      <c r="AK3556" s="2">
        <f t="shared" si="434"/>
        <v>0</v>
      </c>
      <c r="AL3556" s="5">
        <f t="shared" si="431"/>
        <v>0</v>
      </c>
    </row>
    <row r="3557" spans="1:38" hidden="1" x14ac:dyDescent="0.2">
      <c r="A3557" s="2">
        <v>2026</v>
      </c>
      <c r="B3557" s="2">
        <v>3</v>
      </c>
      <c r="D3557" s="2" t="s">
        <v>2149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1"/>
        <v>0</v>
      </c>
      <c r="Z3557" s="2" t="s">
        <v>3233</v>
      </c>
      <c r="AA3557" s="2" t="s">
        <v>97</v>
      </c>
      <c r="AB3557" s="2" t="s">
        <v>77</v>
      </c>
      <c r="AC3557" s="2" t="s">
        <v>94</v>
      </c>
      <c r="AF3557" s="2">
        <f t="shared" si="437"/>
        <v>0</v>
      </c>
      <c r="AJ3557" s="2">
        <f t="shared" si="438"/>
        <v>0</v>
      </c>
      <c r="AK3557" s="2">
        <f t="shared" si="434"/>
        <v>0</v>
      </c>
      <c r="AL3557" s="5">
        <f t="shared" si="431"/>
        <v>0</v>
      </c>
    </row>
    <row r="3558" spans="1:38" hidden="1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1"/>
        <v>0</v>
      </c>
      <c r="Z3558" s="2" t="s">
        <v>3233</v>
      </c>
      <c r="AA3558" s="2" t="s">
        <v>97</v>
      </c>
      <c r="AB3558" s="2" t="s">
        <v>77</v>
      </c>
      <c r="AC3558" s="2" t="s">
        <v>94</v>
      </c>
      <c r="AF3558" s="2">
        <f t="shared" si="437"/>
        <v>0</v>
      </c>
      <c r="AJ3558" s="2">
        <f t="shared" si="438"/>
        <v>0</v>
      </c>
      <c r="AK3558" s="2">
        <f t="shared" si="434"/>
        <v>0</v>
      </c>
      <c r="AL3558" s="5">
        <f t="shared" si="431"/>
        <v>0</v>
      </c>
    </row>
    <row r="3559" spans="1:38" hidden="1" x14ac:dyDescent="0.2">
      <c r="A3559" s="2">
        <v>2026</v>
      </c>
      <c r="B3559" s="2">
        <v>3</v>
      </c>
      <c r="D3559" s="2" t="s">
        <v>1258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1"/>
        <v>0</v>
      </c>
      <c r="Z3559" s="2" t="s">
        <v>3233</v>
      </c>
      <c r="AA3559" s="2" t="s">
        <v>97</v>
      </c>
      <c r="AB3559" s="2" t="s">
        <v>77</v>
      </c>
      <c r="AC3559" s="2" t="s">
        <v>94</v>
      </c>
      <c r="AF3559" s="2">
        <f t="shared" si="437"/>
        <v>0</v>
      </c>
      <c r="AJ3559" s="2">
        <f t="shared" si="438"/>
        <v>0</v>
      </c>
      <c r="AK3559" s="2">
        <f t="shared" si="434"/>
        <v>0</v>
      </c>
      <c r="AL3559" s="5">
        <f t="shared" si="431"/>
        <v>0</v>
      </c>
    </row>
    <row r="3560" spans="1:38" hidden="1" x14ac:dyDescent="0.2">
      <c r="A3560" s="2">
        <v>2026</v>
      </c>
      <c r="B3560" s="2">
        <v>3</v>
      </c>
      <c r="D3560" s="2" t="s">
        <v>1259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1"/>
        <v>0</v>
      </c>
      <c r="Z3560" s="2" t="s">
        <v>3233</v>
      </c>
      <c r="AA3560" s="2" t="s">
        <v>97</v>
      </c>
      <c r="AB3560" s="2" t="s">
        <v>77</v>
      </c>
      <c r="AC3560" s="2" t="s">
        <v>94</v>
      </c>
      <c r="AF3560" s="2">
        <f t="shared" si="437"/>
        <v>0</v>
      </c>
      <c r="AJ3560" s="2">
        <f t="shared" si="438"/>
        <v>0</v>
      </c>
      <c r="AK3560" s="2">
        <f t="shared" si="434"/>
        <v>0</v>
      </c>
      <c r="AL3560" s="5">
        <f t="shared" si="431"/>
        <v>0</v>
      </c>
    </row>
    <row r="3561" spans="1:38" hidden="1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2779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1"/>
        <v>0</v>
      </c>
      <c r="Z3561" s="2" t="s">
        <v>3233</v>
      </c>
      <c r="AA3561" s="2" t="s">
        <v>97</v>
      </c>
      <c r="AB3561" s="2" t="s">
        <v>77</v>
      </c>
      <c r="AC3561" s="2" t="s">
        <v>94</v>
      </c>
      <c r="AF3561" s="2">
        <f t="shared" si="437"/>
        <v>0</v>
      </c>
      <c r="AJ3561" s="2">
        <f t="shared" si="438"/>
        <v>0</v>
      </c>
      <c r="AK3561" s="2">
        <f t="shared" si="434"/>
        <v>0</v>
      </c>
      <c r="AL3561" s="5">
        <f t="shared" si="431"/>
        <v>0</v>
      </c>
    </row>
    <row r="3562" spans="1:38" hidden="1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3140</v>
      </c>
      <c r="L3562" s="2" t="s">
        <v>178</v>
      </c>
      <c r="M3562" s="2" t="s">
        <v>41</v>
      </c>
      <c r="O3562" s="2" t="s">
        <v>2737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1"/>
        <v>0</v>
      </c>
      <c r="Z3562" s="2" t="s">
        <v>3233</v>
      </c>
      <c r="AA3562" s="2" t="s">
        <v>97</v>
      </c>
      <c r="AB3562" s="2" t="s">
        <v>77</v>
      </c>
      <c r="AC3562" s="2" t="s">
        <v>94</v>
      </c>
      <c r="AF3562" s="2">
        <f t="shared" si="437"/>
        <v>0</v>
      </c>
      <c r="AJ3562" s="2">
        <f t="shared" si="438"/>
        <v>0</v>
      </c>
      <c r="AK3562" s="2">
        <f t="shared" si="434"/>
        <v>0</v>
      </c>
      <c r="AL3562" s="5">
        <f t="shared" si="431"/>
        <v>0</v>
      </c>
    </row>
    <row r="3563" spans="1:38" hidden="1" x14ac:dyDescent="0.2">
      <c r="A3563" s="2">
        <v>2026</v>
      </c>
      <c r="B3563" s="2">
        <v>3</v>
      </c>
      <c r="D3563" s="2" t="s">
        <v>2731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1"/>
        <v>0</v>
      </c>
      <c r="Z3563" s="2" t="s">
        <v>3233</v>
      </c>
      <c r="AA3563" s="2" t="s">
        <v>97</v>
      </c>
      <c r="AB3563" s="2" t="s">
        <v>77</v>
      </c>
      <c r="AC3563" s="2" t="s">
        <v>94</v>
      </c>
      <c r="AF3563" s="2">
        <f t="shared" si="437"/>
        <v>0</v>
      </c>
      <c r="AJ3563" s="2">
        <f t="shared" si="438"/>
        <v>0</v>
      </c>
      <c r="AK3563" s="2">
        <f t="shared" si="434"/>
        <v>0</v>
      </c>
      <c r="AL3563" s="5">
        <f t="shared" si="431"/>
        <v>0</v>
      </c>
    </row>
    <row r="3564" spans="1:38" hidden="1" x14ac:dyDescent="0.2">
      <c r="A3564" s="2">
        <v>2026</v>
      </c>
      <c r="B3564" s="2">
        <v>3</v>
      </c>
      <c r="D3564" s="2" t="s">
        <v>1421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2417</v>
      </c>
      <c r="J3564" s="2" t="s">
        <v>2418</v>
      </c>
      <c r="L3564" s="2" t="s">
        <v>202</v>
      </c>
      <c r="M3564" s="2" t="s">
        <v>81</v>
      </c>
      <c r="O3564" s="2" t="s">
        <v>2724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1"/>
        <v>0</v>
      </c>
      <c r="Z3564" s="2" t="s">
        <v>3233</v>
      </c>
      <c r="AA3564" s="2" t="s">
        <v>97</v>
      </c>
      <c r="AB3564" s="2" t="s">
        <v>77</v>
      </c>
      <c r="AC3564" s="2" t="s">
        <v>94</v>
      </c>
      <c r="AF3564" s="2">
        <f t="shared" si="437"/>
        <v>0</v>
      </c>
      <c r="AJ3564" s="2">
        <f t="shared" si="438"/>
        <v>0</v>
      </c>
      <c r="AK3564" s="2">
        <f t="shared" si="434"/>
        <v>0</v>
      </c>
      <c r="AL3564" s="5">
        <f t="shared" si="431"/>
        <v>0</v>
      </c>
    </row>
    <row r="3565" spans="1:38" hidden="1" x14ac:dyDescent="0.2">
      <c r="A3565" s="2">
        <v>2026</v>
      </c>
      <c r="B3565" s="2">
        <v>3</v>
      </c>
      <c r="D3565" s="2" t="s">
        <v>1422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1275</v>
      </c>
      <c r="J3565" s="2" t="s">
        <v>2400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1"/>
        <v>0</v>
      </c>
      <c r="Z3565" s="2" t="s">
        <v>3233</v>
      </c>
      <c r="AA3565" s="2" t="s">
        <v>97</v>
      </c>
      <c r="AB3565" s="2" t="s">
        <v>77</v>
      </c>
      <c r="AC3565" s="2" t="s">
        <v>94</v>
      </c>
      <c r="AF3565" s="2">
        <f t="shared" si="437"/>
        <v>0</v>
      </c>
      <c r="AJ3565" s="2">
        <f t="shared" si="438"/>
        <v>0</v>
      </c>
      <c r="AK3565" s="2">
        <f t="shared" si="434"/>
        <v>0</v>
      </c>
      <c r="AL3565" s="5">
        <f t="shared" si="431"/>
        <v>0</v>
      </c>
    </row>
    <row r="3566" spans="1:38" hidden="1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2714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1"/>
        <v>0</v>
      </c>
      <c r="Z3566" s="2" t="s">
        <v>3233</v>
      </c>
      <c r="AA3566" s="2" t="s">
        <v>97</v>
      </c>
      <c r="AB3566" s="2" t="s">
        <v>77</v>
      </c>
      <c r="AC3566" s="2" t="s">
        <v>94</v>
      </c>
      <c r="AF3566" s="2">
        <f t="shared" si="437"/>
        <v>0</v>
      </c>
      <c r="AG3566" s="2">
        <v>1.48</v>
      </c>
      <c r="AH3566" s="2">
        <v>1.48</v>
      </c>
      <c r="AJ3566" s="2">
        <f t="shared" si="438"/>
        <v>0</v>
      </c>
      <c r="AK3566" s="2">
        <f t="shared" si="434"/>
        <v>0</v>
      </c>
      <c r="AL3566" s="5">
        <f t="shared" si="431"/>
        <v>0</v>
      </c>
    </row>
    <row r="3567" spans="1:38" hidden="1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1"/>
        <v>0</v>
      </c>
      <c r="Z3567" s="2" t="s">
        <v>3233</v>
      </c>
      <c r="AA3567" s="2" t="s">
        <v>97</v>
      </c>
      <c r="AB3567" s="2" t="s">
        <v>77</v>
      </c>
      <c r="AC3567" s="2" t="s">
        <v>94</v>
      </c>
      <c r="AF3567" s="2">
        <f t="shared" si="437"/>
        <v>0</v>
      </c>
      <c r="AJ3567" s="2">
        <f t="shared" si="438"/>
        <v>0</v>
      </c>
      <c r="AK3567" s="2">
        <f t="shared" si="434"/>
        <v>0</v>
      </c>
      <c r="AL3567" s="5">
        <f t="shared" ref="AL3567:AL3630" si="442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2565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1"/>
        <v>0</v>
      </c>
      <c r="Z3568" s="2" t="s">
        <v>3233</v>
      </c>
      <c r="AA3568" s="2" t="s">
        <v>97</v>
      </c>
      <c r="AB3568" s="2" t="s">
        <v>77</v>
      </c>
      <c r="AC3568" s="2" t="s">
        <v>94</v>
      </c>
      <c r="AF3568" s="2">
        <f t="shared" si="437"/>
        <v>0</v>
      </c>
      <c r="AJ3568" s="2">
        <f t="shared" si="438"/>
        <v>0</v>
      </c>
      <c r="AK3568" s="2">
        <f t="shared" si="434"/>
        <v>0</v>
      </c>
      <c r="AL3568" s="5">
        <f t="shared" si="442"/>
        <v>0</v>
      </c>
    </row>
    <row r="3569" spans="1:38" hidden="1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1"/>
        <v>0</v>
      </c>
      <c r="Z3569" s="2" t="s">
        <v>3233</v>
      </c>
      <c r="AA3569" s="2" t="s">
        <v>97</v>
      </c>
      <c r="AB3569" s="2" t="s">
        <v>77</v>
      </c>
      <c r="AC3569" s="2" t="s">
        <v>94</v>
      </c>
      <c r="AF3569" s="2">
        <f t="shared" si="437"/>
        <v>0</v>
      </c>
      <c r="AJ3569" s="2">
        <f t="shared" si="438"/>
        <v>0</v>
      </c>
      <c r="AK3569" s="2">
        <f t="shared" si="434"/>
        <v>0</v>
      </c>
      <c r="AL3569" s="5">
        <f t="shared" si="442"/>
        <v>0</v>
      </c>
    </row>
    <row r="3570" spans="1:38" hidden="1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2715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1"/>
        <v>0</v>
      </c>
      <c r="Z3570" s="2" t="s">
        <v>3233</v>
      </c>
      <c r="AA3570" s="2" t="s">
        <v>97</v>
      </c>
      <c r="AB3570" s="2" t="s">
        <v>77</v>
      </c>
      <c r="AC3570" s="2" t="s">
        <v>94</v>
      </c>
      <c r="AF3570" s="2">
        <f t="shared" si="437"/>
        <v>0</v>
      </c>
      <c r="AG3570" s="2">
        <v>1.48</v>
      </c>
      <c r="AH3570" s="2">
        <v>1.48</v>
      </c>
      <c r="AJ3570" s="2">
        <f t="shared" si="438"/>
        <v>0</v>
      </c>
      <c r="AK3570" s="2">
        <f t="shared" si="434"/>
        <v>0</v>
      </c>
      <c r="AL3570" s="5">
        <f t="shared" si="442"/>
        <v>0</v>
      </c>
    </row>
    <row r="3571" spans="1:38" hidden="1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1"/>
        <v>0</v>
      </c>
      <c r="Z3571" s="2" t="s">
        <v>3233</v>
      </c>
      <c r="AA3571" s="2" t="s">
        <v>97</v>
      </c>
      <c r="AB3571" s="2" t="s">
        <v>77</v>
      </c>
      <c r="AC3571" s="2" t="s">
        <v>94</v>
      </c>
      <c r="AF3571" s="2">
        <f t="shared" si="437"/>
        <v>0</v>
      </c>
      <c r="AJ3571" s="2">
        <f t="shared" si="438"/>
        <v>0</v>
      </c>
      <c r="AK3571" s="2">
        <f t="shared" si="434"/>
        <v>0</v>
      </c>
      <c r="AL3571" s="5">
        <f t="shared" si="442"/>
        <v>0</v>
      </c>
    </row>
    <row r="3572" spans="1:38" hidden="1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2728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1"/>
        <v>0</v>
      </c>
      <c r="Z3572" s="2" t="s">
        <v>3233</v>
      </c>
      <c r="AA3572" s="2" t="s">
        <v>97</v>
      </c>
      <c r="AB3572" s="2" t="s">
        <v>77</v>
      </c>
      <c r="AC3572" s="2" t="s">
        <v>94</v>
      </c>
      <c r="AF3572" s="2">
        <f t="shared" si="437"/>
        <v>0</v>
      </c>
      <c r="AJ3572" s="2">
        <f t="shared" si="438"/>
        <v>0</v>
      </c>
      <c r="AK3572" s="2">
        <f t="shared" si="434"/>
        <v>0</v>
      </c>
      <c r="AL3572" s="5">
        <f t="shared" si="442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1"/>
        <v>1</v>
      </c>
      <c r="Z3573" s="2" t="s">
        <v>120</v>
      </c>
      <c r="AA3573" s="2" t="s">
        <v>3388</v>
      </c>
      <c r="AF3573" s="2">
        <f t="shared" si="437"/>
        <v>0</v>
      </c>
      <c r="AJ3573" s="2">
        <f t="shared" si="438"/>
        <v>0</v>
      </c>
      <c r="AK3573" s="2">
        <f t="shared" si="434"/>
        <v>576</v>
      </c>
      <c r="AL3573" s="5">
        <f t="shared" si="442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2705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1"/>
        <v>1</v>
      </c>
      <c r="Z3574" s="2" t="s">
        <v>120</v>
      </c>
      <c r="AA3574" s="2" t="s">
        <v>3388</v>
      </c>
      <c r="AF3574" s="2">
        <f t="shared" si="437"/>
        <v>0</v>
      </c>
      <c r="AJ3574" s="2">
        <f t="shared" si="438"/>
        <v>0</v>
      </c>
      <c r="AK3574" s="2">
        <f t="shared" ref="AK3574:AK3637" si="443">T3574-W3574</f>
        <v>200</v>
      </c>
      <c r="AL3574" s="5">
        <f t="shared" si="442"/>
        <v>1</v>
      </c>
    </row>
    <row r="3575" spans="1:38" hidden="1" x14ac:dyDescent="0.2">
      <c r="A3575" s="2">
        <v>2026</v>
      </c>
      <c r="B3575" s="2">
        <v>3</v>
      </c>
      <c r="C3575" s="2" t="s">
        <v>3429</v>
      </c>
      <c r="D3575" s="2" t="s">
        <v>2780</v>
      </c>
      <c r="E3575" s="2" t="s">
        <v>109</v>
      </c>
      <c r="F3575" s="2" t="s">
        <v>39</v>
      </c>
      <c r="L3575" s="2" t="s">
        <v>2444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1"/>
        <v>1</v>
      </c>
      <c r="Z3575" s="2" t="s">
        <v>105</v>
      </c>
      <c r="AA3575" s="2" t="s">
        <v>3430</v>
      </c>
      <c r="AB3575" s="2" t="s">
        <v>3431</v>
      </c>
      <c r="AC3575" s="2" t="s">
        <v>115</v>
      </c>
      <c r="AF3575" s="2">
        <f t="shared" si="437"/>
        <v>0</v>
      </c>
      <c r="AJ3575" s="2">
        <f t="shared" si="438"/>
        <v>0</v>
      </c>
      <c r="AK3575" s="2">
        <f t="shared" si="443"/>
        <v>180</v>
      </c>
      <c r="AL3575" s="5">
        <f t="shared" si="442"/>
        <v>1</v>
      </c>
    </row>
    <row r="3576" spans="1:38" hidden="1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1"/>
        <v>1</v>
      </c>
      <c r="Z3576" s="2" t="s">
        <v>120</v>
      </c>
      <c r="AA3576" s="2" t="s">
        <v>3388</v>
      </c>
      <c r="AF3576" s="2">
        <f t="shared" si="437"/>
        <v>0</v>
      </c>
      <c r="AJ3576" s="2">
        <f t="shared" si="438"/>
        <v>0</v>
      </c>
      <c r="AK3576" s="2">
        <f t="shared" si="443"/>
        <v>180</v>
      </c>
      <c r="AL3576" s="5">
        <f t="shared" si="442"/>
        <v>1</v>
      </c>
    </row>
    <row r="3577" spans="1:38" hidden="1" x14ac:dyDescent="0.2">
      <c r="A3577" s="2">
        <v>2026</v>
      </c>
      <c r="B3577" s="2">
        <v>3</v>
      </c>
      <c r="D3577" s="2" t="s">
        <v>2055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1"/>
        <v>1</v>
      </c>
      <c r="Z3577" s="2" t="s">
        <v>120</v>
      </c>
      <c r="AA3577" s="2" t="s">
        <v>3388</v>
      </c>
      <c r="AF3577" s="2">
        <f t="shared" si="437"/>
        <v>0</v>
      </c>
      <c r="AJ3577" s="2">
        <f t="shared" si="438"/>
        <v>0</v>
      </c>
      <c r="AK3577" s="2">
        <f t="shared" si="443"/>
        <v>67.2</v>
      </c>
      <c r="AL3577" s="5">
        <f t="shared" si="442"/>
        <v>1</v>
      </c>
    </row>
    <row r="3578" spans="1:38" hidden="1" x14ac:dyDescent="0.2">
      <c r="A3578" s="2">
        <v>2026</v>
      </c>
      <c r="B3578" s="2">
        <v>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2781</v>
      </c>
      <c r="P3578" s="2" t="s">
        <v>115</v>
      </c>
      <c r="Q3578" s="2" t="s">
        <v>2782</v>
      </c>
      <c r="R3578" s="2" t="s">
        <v>851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1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7"/>
        <v>0</v>
      </c>
      <c r="AG3578" s="2">
        <v>6.55</v>
      </c>
      <c r="AJ3578" s="2">
        <f t="shared" si="438"/>
        <v>0</v>
      </c>
      <c r="AK3578" s="2">
        <f t="shared" si="443"/>
        <v>12.439999999999998</v>
      </c>
      <c r="AL3578" s="5">
        <f t="shared" si="442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2783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1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437"/>
        <v>0</v>
      </c>
      <c r="AG3579" s="2">
        <v>1244.2444</v>
      </c>
      <c r="AJ3579" s="2">
        <f t="shared" si="438"/>
        <v>0</v>
      </c>
      <c r="AK3579" s="2">
        <f t="shared" si="443"/>
        <v>445.75559999999996</v>
      </c>
      <c r="AL3579" s="5">
        <f t="shared" si="442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2784</v>
      </c>
      <c r="P3580" s="2" t="s">
        <v>115</v>
      </c>
      <c r="Q3580" s="2" t="s">
        <v>2303</v>
      </c>
      <c r="R3580" s="2" t="s">
        <v>2304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4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7"/>
        <v>0</v>
      </c>
      <c r="AG3580" s="2">
        <v>136.38999999999999</v>
      </c>
      <c r="AH3580" s="2">
        <v>282.11399999999998</v>
      </c>
      <c r="AJ3580" s="2">
        <f t="shared" si="438"/>
        <v>0</v>
      </c>
      <c r="AK3580" s="2">
        <f t="shared" si="443"/>
        <v>117.51000000000002</v>
      </c>
      <c r="AL3580" s="5">
        <f t="shared" si="442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2055</v>
      </c>
      <c r="G3581" s="2">
        <v>514960337</v>
      </c>
      <c r="H3581" s="2" t="s">
        <v>291</v>
      </c>
      <c r="I3581" s="2" t="s">
        <v>2785</v>
      </c>
      <c r="M3581" s="2" t="s">
        <v>40</v>
      </c>
      <c r="O3581" s="2" t="s">
        <v>2786</v>
      </c>
      <c r="P3581" s="2" t="s">
        <v>115</v>
      </c>
      <c r="Q3581" s="2" t="s">
        <v>2008</v>
      </c>
      <c r="R3581" s="2" t="s">
        <v>2009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4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7"/>
        <v>0</v>
      </c>
      <c r="AG3581" s="2">
        <v>7.9024999999999999</v>
      </c>
      <c r="AJ3581" s="2">
        <f t="shared" si="438"/>
        <v>0</v>
      </c>
      <c r="AK3581" s="2">
        <f t="shared" si="443"/>
        <v>5.43</v>
      </c>
      <c r="AL3581" s="5">
        <f t="shared" si="442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P3582" s="2" t="s">
        <v>115</v>
      </c>
      <c r="Q3582" s="2" t="s">
        <v>1519</v>
      </c>
      <c r="R3582" s="2" t="s">
        <v>1520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4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7"/>
        <v>0</v>
      </c>
      <c r="AG3582" s="2">
        <v>11.246700000000001</v>
      </c>
      <c r="AJ3582" s="2">
        <f t="shared" si="438"/>
        <v>0</v>
      </c>
      <c r="AK3582" s="2">
        <f t="shared" si="443"/>
        <v>9.1433</v>
      </c>
      <c r="AL3582" s="5">
        <f t="shared" si="442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2787</v>
      </c>
      <c r="G3583" s="2">
        <v>219031614</v>
      </c>
      <c r="I3583" s="2" t="s">
        <v>2205</v>
      </c>
      <c r="M3583" s="2" t="s">
        <v>40</v>
      </c>
      <c r="O3583" s="2" t="s">
        <v>2788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4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7"/>
        <v>0</v>
      </c>
      <c r="AG3583" s="2">
        <v>35.931699999999999</v>
      </c>
      <c r="AJ3583" s="2">
        <f t="shared" si="438"/>
        <v>0</v>
      </c>
      <c r="AK3583" s="2">
        <f t="shared" si="443"/>
        <v>85.316600000000008</v>
      </c>
      <c r="AL3583" s="5">
        <f t="shared" si="442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2789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4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7"/>
        <v>0</v>
      </c>
      <c r="AG3584" s="2">
        <v>5.33</v>
      </c>
      <c r="AJ3584" s="2">
        <f t="shared" si="438"/>
        <v>0</v>
      </c>
      <c r="AK3584" s="2">
        <f t="shared" si="443"/>
        <v>17.91</v>
      </c>
      <c r="AL3584" s="5">
        <f t="shared" si="442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2790</v>
      </c>
      <c r="P3585" s="2" t="s">
        <v>115</v>
      </c>
      <c r="Q3585" s="2" t="s">
        <v>2791</v>
      </c>
      <c r="R3585" s="2" t="s">
        <v>2792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4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7"/>
        <v>0</v>
      </c>
      <c r="AG3585" s="2">
        <f>20.48+0.33</f>
        <v>20.81</v>
      </c>
      <c r="AJ3585" s="2">
        <f t="shared" si="438"/>
        <v>0</v>
      </c>
      <c r="AK3585" s="2">
        <f t="shared" si="443"/>
        <v>22.2</v>
      </c>
      <c r="AL3585" s="5">
        <f t="shared" si="442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2790</v>
      </c>
      <c r="P3586" s="2" t="s">
        <v>115</v>
      </c>
      <c r="Q3586" s="2" t="s">
        <v>2793</v>
      </c>
      <c r="R3586" s="2" t="s">
        <v>2493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4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7"/>
        <v>0</v>
      </c>
      <c r="AG3586" s="2">
        <f>63.89+1.02</f>
        <v>64.91</v>
      </c>
      <c r="AJ3586" s="2">
        <f t="shared" si="438"/>
        <v>0</v>
      </c>
      <c r="AK3586" s="2">
        <f t="shared" si="443"/>
        <v>69.259999999999991</v>
      </c>
      <c r="AL3586" s="5">
        <f t="shared" si="442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4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ref="AF3587:AF3650" si="445">AJ3587</f>
        <v>0</v>
      </c>
      <c r="AG3587" s="2">
        <f>W3587</f>
        <v>100</v>
      </c>
      <c r="AJ3587" s="2">
        <f t="shared" ref="AJ3587:AJ3650" si="446">AI3587*T3587</f>
        <v>0</v>
      </c>
      <c r="AK3587" s="2">
        <f t="shared" si="443"/>
        <v>100</v>
      </c>
      <c r="AL3587" s="5">
        <f t="shared" si="442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2482</v>
      </c>
      <c r="J3588" s="2" t="s">
        <v>3129</v>
      </c>
      <c r="K3588" s="2">
        <v>965864665</v>
      </c>
      <c r="L3588" s="2" t="s">
        <v>345</v>
      </c>
      <c r="M3588" s="2" t="s">
        <v>40</v>
      </c>
      <c r="O3588" s="2" t="s">
        <v>2794</v>
      </c>
      <c r="P3588" s="2" t="s">
        <v>115</v>
      </c>
      <c r="Q3588" s="2" t="s">
        <v>1253</v>
      </c>
      <c r="R3588" s="2" t="s">
        <v>1254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4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5"/>
        <v>0</v>
      </c>
      <c r="AG3588" s="2">
        <v>183.26</v>
      </c>
      <c r="AJ3588" s="2">
        <f t="shared" si="446"/>
        <v>0</v>
      </c>
      <c r="AK3588" s="2">
        <f t="shared" si="443"/>
        <v>151.26999999999998</v>
      </c>
      <c r="AL3588" s="5">
        <f t="shared" si="442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2795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7">23.042*S3589</f>
        <v>46.084000000000003</v>
      </c>
      <c r="X3589" s="5">
        <f t="shared" si="444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5"/>
        <v>0</v>
      </c>
      <c r="AG3589" s="2">
        <v>22.2</v>
      </c>
      <c r="AJ3589" s="2">
        <f t="shared" si="446"/>
        <v>0</v>
      </c>
      <c r="AK3589" s="2">
        <f t="shared" si="443"/>
        <v>51.816000000000003</v>
      </c>
      <c r="AL3589" s="5">
        <f t="shared" si="442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2796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7"/>
        <v>23.042000000000002</v>
      </c>
      <c r="X3590" s="5">
        <f t="shared" si="444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5"/>
        <v>0</v>
      </c>
      <c r="AG3590" s="2">
        <v>22.2</v>
      </c>
      <c r="AJ3590" s="2">
        <f t="shared" si="446"/>
        <v>0</v>
      </c>
      <c r="AK3590" s="2">
        <f t="shared" si="443"/>
        <v>25.908000000000001</v>
      </c>
      <c r="AL3590" s="5">
        <f t="shared" si="442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2797</v>
      </c>
      <c r="R3591" s="2" t="s">
        <v>2798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4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5"/>
        <v>0</v>
      </c>
      <c r="AG3591" s="2">
        <f>249.84+4</f>
        <v>253.84</v>
      </c>
      <c r="AJ3591" s="2">
        <f t="shared" si="446"/>
        <v>0</v>
      </c>
      <c r="AK3591" s="2">
        <f t="shared" si="443"/>
        <v>270.81999999999994</v>
      </c>
      <c r="AL3591" s="5">
        <f t="shared" si="442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2325</v>
      </c>
      <c r="M3592" s="2" t="s">
        <v>40</v>
      </c>
      <c r="O3592" s="2" t="s">
        <v>2799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4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5"/>
        <v>0</v>
      </c>
      <c r="AG3592" s="2">
        <v>30.22</v>
      </c>
      <c r="AJ3592" s="2">
        <f t="shared" si="446"/>
        <v>0</v>
      </c>
      <c r="AK3592" s="2">
        <f t="shared" si="443"/>
        <v>33.24</v>
      </c>
      <c r="AL3592" s="5">
        <f t="shared" si="442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2772</v>
      </c>
      <c r="M3593" s="2" t="s">
        <v>40</v>
      </c>
      <c r="O3593" s="2" t="s">
        <v>2800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4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5"/>
        <v>0</v>
      </c>
      <c r="AG3593" s="2">
        <v>342.22</v>
      </c>
      <c r="AJ3593" s="2">
        <f t="shared" si="446"/>
        <v>0</v>
      </c>
      <c r="AK3593" s="2">
        <f t="shared" si="443"/>
        <v>354.09659999999997</v>
      </c>
      <c r="AL3593" s="5">
        <f t="shared" si="442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2801</v>
      </c>
      <c r="M3594" s="2" t="s">
        <v>40</v>
      </c>
      <c r="O3594" s="2" t="s">
        <v>2802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4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5"/>
        <v>0</v>
      </c>
      <c r="AG3594" s="2">
        <v>342.22</v>
      </c>
      <c r="AJ3594" s="2">
        <f t="shared" si="446"/>
        <v>0</v>
      </c>
      <c r="AK3594" s="2">
        <f t="shared" si="443"/>
        <v>354.09659999999997</v>
      </c>
      <c r="AL3594" s="5">
        <f t="shared" si="442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2803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2804</v>
      </c>
      <c r="J3595" s="2" t="s">
        <v>2805</v>
      </c>
      <c r="L3595" s="2" t="s">
        <v>202</v>
      </c>
      <c r="M3595" s="2" t="s">
        <v>40</v>
      </c>
      <c r="O3595" s="2" t="s">
        <v>2806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4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5"/>
        <v>0</v>
      </c>
      <c r="AG3595" s="2">
        <v>342.22</v>
      </c>
      <c r="AJ3595" s="2">
        <f t="shared" si="446"/>
        <v>0</v>
      </c>
      <c r="AK3595" s="2">
        <f t="shared" si="443"/>
        <v>354.09659999999997</v>
      </c>
      <c r="AL3595" s="5">
        <f t="shared" si="442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2807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4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5"/>
        <v>0</v>
      </c>
      <c r="AJ3596" s="2">
        <f t="shared" si="446"/>
        <v>0</v>
      </c>
      <c r="AK3596" s="2">
        <f t="shared" si="443"/>
        <v>352.72999999999996</v>
      </c>
      <c r="AL3596" s="5">
        <f t="shared" si="442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2610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2611</v>
      </c>
      <c r="K3597" s="2">
        <v>935402550</v>
      </c>
      <c r="L3597" s="2" t="s">
        <v>113</v>
      </c>
      <c r="M3597" s="2" t="s">
        <v>40</v>
      </c>
      <c r="O3597" s="2" t="s">
        <v>2612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4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5"/>
        <v>0</v>
      </c>
      <c r="AG3597" s="2">
        <v>346.57</v>
      </c>
      <c r="AJ3597" s="2">
        <f t="shared" si="446"/>
        <v>0</v>
      </c>
      <c r="AK3597" s="2">
        <f t="shared" si="443"/>
        <v>352.72999999999996</v>
      </c>
      <c r="AL3597" s="5">
        <f t="shared" si="442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2613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2614</v>
      </c>
      <c r="J3598" s="2" t="s">
        <v>2615</v>
      </c>
      <c r="K3598" s="2">
        <v>912183782</v>
      </c>
      <c r="L3598" s="2" t="s">
        <v>202</v>
      </c>
      <c r="M3598" s="2" t="s">
        <v>40</v>
      </c>
      <c r="O3598" s="2" t="s">
        <v>2616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4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5"/>
        <v>0</v>
      </c>
      <c r="AG3598" s="2">
        <v>346.57</v>
      </c>
      <c r="AJ3598" s="2">
        <f t="shared" si="446"/>
        <v>0</v>
      </c>
      <c r="AK3598" s="2">
        <f t="shared" si="443"/>
        <v>352.72999999999996</v>
      </c>
      <c r="AL3598" s="5">
        <f t="shared" si="442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2620</v>
      </c>
      <c r="M3599" s="2" t="s">
        <v>40</v>
      </c>
      <c r="O3599" s="2" t="s">
        <v>2808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4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5"/>
        <v>0</v>
      </c>
      <c r="AJ3599" s="2">
        <f t="shared" si="446"/>
        <v>0</v>
      </c>
      <c r="AK3599" s="2">
        <f t="shared" si="443"/>
        <v>352.72999999999996</v>
      </c>
      <c r="AL3599" s="5">
        <f t="shared" si="442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2781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4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5"/>
        <v>0</v>
      </c>
      <c r="AJ3600" s="2">
        <f t="shared" si="446"/>
        <v>0</v>
      </c>
      <c r="AK3600" s="2">
        <f t="shared" si="443"/>
        <v>229.38000000000005</v>
      </c>
      <c r="AL3600" s="5">
        <f t="shared" si="442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1604</v>
      </c>
      <c r="M3601" s="2" t="s">
        <v>40</v>
      </c>
      <c r="O3601" s="2" t="s">
        <v>2809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4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5"/>
        <v>0</v>
      </c>
      <c r="AG3601" s="2">
        <f>167.92</f>
        <v>167.92</v>
      </c>
      <c r="AJ3601" s="2">
        <f t="shared" si="446"/>
        <v>0</v>
      </c>
      <c r="AK3601" s="2">
        <f t="shared" si="443"/>
        <v>188.89000000000001</v>
      </c>
      <c r="AL3601" s="5">
        <f t="shared" si="442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2801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4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445"/>
        <v>0</v>
      </c>
      <c r="AG3602" s="2">
        <f>W3602</f>
        <v>36.800000000000004</v>
      </c>
      <c r="AJ3602" s="2">
        <f t="shared" si="446"/>
        <v>0</v>
      </c>
      <c r="AK3602" s="2">
        <f t="shared" si="443"/>
        <v>55.199999999999996</v>
      </c>
      <c r="AL3602" s="5">
        <f t="shared" si="442"/>
        <v>0.6</v>
      </c>
    </row>
    <row r="3603" spans="1:38" hidden="1" x14ac:dyDescent="0.2">
      <c r="A3603" s="2">
        <v>2026</v>
      </c>
      <c r="B3603" s="2">
        <v>4</v>
      </c>
      <c r="D3603" s="2" t="s">
        <v>2289</v>
      </c>
      <c r="M3603" s="2" t="s">
        <v>40</v>
      </c>
      <c r="O3603" s="2" t="s">
        <v>2810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4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5"/>
        <v>0</v>
      </c>
      <c r="AG3603" s="2">
        <f>231.78+0.96</f>
        <v>232.74</v>
      </c>
      <c r="AJ3603" s="2">
        <f t="shared" si="446"/>
        <v>0</v>
      </c>
      <c r="AK3603" s="2">
        <f t="shared" si="443"/>
        <v>256.08</v>
      </c>
      <c r="AL3603" s="5">
        <f t="shared" si="442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2609</v>
      </c>
      <c r="P3604" s="2" t="s">
        <v>115</v>
      </c>
      <c r="Q3604" s="2" t="s">
        <v>1660</v>
      </c>
      <c r="R3604" s="2" t="s">
        <v>1661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4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5"/>
        <v>0</v>
      </c>
      <c r="AG3604" s="2">
        <v>565.755</v>
      </c>
      <c r="AJ3604" s="2">
        <f t="shared" si="446"/>
        <v>0</v>
      </c>
      <c r="AK3604" s="2">
        <f t="shared" si="443"/>
        <v>1279.1445000000001</v>
      </c>
      <c r="AL3604" s="5">
        <f t="shared" si="442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943</v>
      </c>
      <c r="M3605" s="2" t="s">
        <v>40</v>
      </c>
      <c r="O3605" s="2" t="s">
        <v>2811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4"/>
        <v>0.66809046530951399</v>
      </c>
      <c r="Z3605" s="2" t="s">
        <v>118</v>
      </c>
      <c r="AF3605" s="2">
        <f t="shared" si="445"/>
        <v>0</v>
      </c>
      <c r="AG3605" s="2">
        <v>255.65</v>
      </c>
      <c r="AJ3605" s="2">
        <f t="shared" si="446"/>
        <v>0</v>
      </c>
      <c r="AK3605" s="2">
        <f t="shared" si="443"/>
        <v>514.59</v>
      </c>
      <c r="AL3605" s="5">
        <f t="shared" si="442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2812</v>
      </c>
      <c r="P3606" s="2" t="s">
        <v>115</v>
      </c>
      <c r="Q3606" s="2" t="s">
        <v>2492</v>
      </c>
      <c r="R3606" s="2" t="s">
        <v>2493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4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5"/>
        <v>0</v>
      </c>
      <c r="AG3606" s="2">
        <v>102.88249999999999</v>
      </c>
      <c r="AJ3606" s="2">
        <f t="shared" si="446"/>
        <v>0</v>
      </c>
      <c r="AK3606" s="2">
        <f t="shared" si="443"/>
        <v>112.075</v>
      </c>
      <c r="AL3606" s="5">
        <f t="shared" si="442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1604</v>
      </c>
      <c r="M3607" s="2" t="s">
        <v>40</v>
      </c>
      <c r="O3607" s="2" t="s">
        <v>2809</v>
      </c>
      <c r="P3607" s="2" t="s">
        <v>115</v>
      </c>
      <c r="Q3607" s="2" t="s">
        <v>2813</v>
      </c>
      <c r="R3607" s="2" t="s">
        <v>2814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4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5"/>
        <v>0</v>
      </c>
      <c r="AG3607" s="2">
        <v>42.436799999999998</v>
      </c>
      <c r="AJ3607" s="2">
        <f t="shared" si="446"/>
        <v>0</v>
      </c>
      <c r="AK3607" s="2">
        <f t="shared" si="443"/>
        <v>46.603200000000008</v>
      </c>
      <c r="AL3607" s="5">
        <f t="shared" si="442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2815</v>
      </c>
      <c r="R3608" s="2" t="s">
        <v>2816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4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5"/>
        <v>0</v>
      </c>
      <c r="AG3608" s="2">
        <v>42.436799999999998</v>
      </c>
      <c r="AJ3608" s="2">
        <f t="shared" si="446"/>
        <v>0</v>
      </c>
      <c r="AK3608" s="2">
        <f t="shared" si="443"/>
        <v>11.613199999999999</v>
      </c>
      <c r="AL3608" s="5">
        <f t="shared" si="442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2790</v>
      </c>
      <c r="P3609" s="2" t="s">
        <v>115</v>
      </c>
      <c r="Q3609" s="2" t="s">
        <v>2817</v>
      </c>
      <c r="R3609" s="2" t="s">
        <v>2818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4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5"/>
        <v>0</v>
      </c>
      <c r="AG3609" s="2">
        <f>15.49+0.25</f>
        <v>15.74</v>
      </c>
      <c r="AJ3609" s="2">
        <f t="shared" si="446"/>
        <v>0</v>
      </c>
      <c r="AK3609" s="2">
        <f t="shared" si="443"/>
        <v>16.79</v>
      </c>
      <c r="AL3609" s="5">
        <f t="shared" si="442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1595</v>
      </c>
      <c r="M3610" s="2" t="s">
        <v>40</v>
      </c>
      <c r="O3610" s="2" t="s">
        <v>2819</v>
      </c>
      <c r="P3610" s="2" t="s">
        <v>115</v>
      </c>
      <c r="Q3610" s="2" t="s">
        <v>1596</v>
      </c>
      <c r="R3610" s="2" t="s">
        <v>1597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4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5"/>
        <v>0</v>
      </c>
      <c r="AG3610" s="2">
        <v>21.32</v>
      </c>
      <c r="AJ3610" s="2">
        <f t="shared" si="446"/>
        <v>0</v>
      </c>
      <c r="AK3610" s="2">
        <f t="shared" si="443"/>
        <v>25.270000000000003</v>
      </c>
      <c r="AL3610" s="5">
        <f t="shared" si="442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2820</v>
      </c>
      <c r="P3611" s="2" t="s">
        <v>115</v>
      </c>
      <c r="Q3611" s="2" t="s">
        <v>2821</v>
      </c>
      <c r="R3611" s="2" t="s">
        <v>2822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4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5"/>
        <v>0</v>
      </c>
      <c r="AG3611" s="2">
        <v>19.5167</v>
      </c>
      <c r="AJ3611" s="2">
        <f t="shared" si="446"/>
        <v>0</v>
      </c>
      <c r="AK3611" s="2">
        <f t="shared" si="443"/>
        <v>21.823300000000003</v>
      </c>
      <c r="AL3611" s="5">
        <f t="shared" si="442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2823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5"/>
        <v>0</v>
      </c>
      <c r="AJ3612" s="2">
        <f t="shared" si="446"/>
        <v>0</v>
      </c>
      <c r="AK3612" s="2">
        <f t="shared" si="443"/>
        <v>-83.46</v>
      </c>
      <c r="AL3612" s="5">
        <f t="shared" si="442"/>
        <v>1</v>
      </c>
    </row>
    <row r="3613" spans="1:38" hidden="1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1335</v>
      </c>
      <c r="R3613" s="2" t="s">
        <v>1336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8">(T3613-W3613)/T3613</f>
        <v>1</v>
      </c>
      <c r="Z3613" s="2" t="s">
        <v>118</v>
      </c>
      <c r="AF3613" s="2">
        <f t="shared" si="445"/>
        <v>0</v>
      </c>
      <c r="AJ3613" s="2">
        <f t="shared" si="446"/>
        <v>0</v>
      </c>
      <c r="AK3613" s="2">
        <f t="shared" si="443"/>
        <v>140.24</v>
      </c>
      <c r="AL3613" s="5">
        <f t="shared" si="442"/>
        <v>1</v>
      </c>
    </row>
    <row r="3614" spans="1:38" hidden="1" x14ac:dyDescent="0.2">
      <c r="A3614" s="2">
        <v>2026</v>
      </c>
      <c r="B3614" s="2">
        <v>4</v>
      </c>
      <c r="D3614" s="2" t="s">
        <v>1441</v>
      </c>
      <c r="P3614" s="2" t="s">
        <v>115</v>
      </c>
      <c r="Q3614" s="2" t="s">
        <v>1908</v>
      </c>
      <c r="R3614" s="2" t="s">
        <v>1909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8"/>
        <v>1</v>
      </c>
      <c r="Z3614" s="2" t="s">
        <v>118</v>
      </c>
      <c r="AF3614" s="2">
        <f t="shared" si="445"/>
        <v>0</v>
      </c>
      <c r="AJ3614" s="2">
        <f t="shared" si="446"/>
        <v>0</v>
      </c>
      <c r="AK3614" s="2">
        <f t="shared" si="443"/>
        <v>1031.94</v>
      </c>
      <c r="AL3614" s="5">
        <f t="shared" si="442"/>
        <v>1</v>
      </c>
    </row>
    <row r="3615" spans="1:38" hidden="1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2508</v>
      </c>
      <c r="R3615" s="2" t="s">
        <v>2509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8"/>
        <v>1</v>
      </c>
      <c r="Z3615" s="2" t="s">
        <v>118</v>
      </c>
      <c r="AF3615" s="2">
        <f t="shared" si="445"/>
        <v>0</v>
      </c>
      <c r="AJ3615" s="2">
        <f t="shared" si="446"/>
        <v>0</v>
      </c>
      <c r="AK3615" s="2">
        <f t="shared" si="443"/>
        <v>1594.72</v>
      </c>
      <c r="AL3615" s="5">
        <f t="shared" si="442"/>
        <v>1</v>
      </c>
    </row>
    <row r="3616" spans="1:38" hidden="1" x14ac:dyDescent="0.2">
      <c r="A3616" s="2">
        <v>2026</v>
      </c>
      <c r="B3616" s="2">
        <v>4</v>
      </c>
      <c r="C3616" s="2" t="s">
        <v>3326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8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5"/>
        <v>0</v>
      </c>
      <c r="AJ3616" s="2">
        <f t="shared" si="446"/>
        <v>0</v>
      </c>
      <c r="AK3616" s="2">
        <f t="shared" si="443"/>
        <v>5320.6</v>
      </c>
      <c r="AL3616" s="5">
        <f t="shared" si="442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3266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2652</v>
      </c>
      <c r="L3617" s="2" t="s">
        <v>399</v>
      </c>
      <c r="M3617" s="2" t="s">
        <v>40</v>
      </c>
      <c r="O3617" s="2" t="s">
        <v>3267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8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5"/>
        <v>0</v>
      </c>
      <c r="AJ3617" s="2">
        <f t="shared" si="446"/>
        <v>0</v>
      </c>
      <c r="AK3617" s="2">
        <f t="shared" si="443"/>
        <v>4004.8500000000004</v>
      </c>
      <c r="AL3617" s="5">
        <f t="shared" si="442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3326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8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445"/>
        <v>0</v>
      </c>
      <c r="AG3618" s="2">
        <f>6193.4+275.33</f>
        <v>6468.73</v>
      </c>
      <c r="AJ3618" s="2">
        <f t="shared" si="446"/>
        <v>0</v>
      </c>
      <c r="AK3618" s="2">
        <f t="shared" si="443"/>
        <v>2461.2700000000004</v>
      </c>
      <c r="AL3618" s="5">
        <f t="shared" si="442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2824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8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445"/>
        <v>0</v>
      </c>
      <c r="AG3619" s="2">
        <v>6468.73</v>
      </c>
      <c r="AJ3619" s="2">
        <f t="shared" si="446"/>
        <v>0</v>
      </c>
      <c r="AK3619" s="2">
        <f t="shared" si="443"/>
        <v>2461.2700000000004</v>
      </c>
      <c r="AL3619" s="5">
        <f t="shared" si="442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3326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1583</v>
      </c>
      <c r="R3620" s="2" t="s">
        <v>1584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8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5"/>
        <v>0</v>
      </c>
      <c r="AG3620" s="2">
        <f>4893.23+171</f>
        <v>5064.2299999999996</v>
      </c>
      <c r="AJ3620" s="2">
        <f t="shared" si="446"/>
        <v>0</v>
      </c>
      <c r="AK3620" s="2">
        <f t="shared" si="443"/>
        <v>2275.7700000000004</v>
      </c>
      <c r="AL3620" s="5">
        <f t="shared" si="442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2825</v>
      </c>
      <c r="P3621" s="2" t="s">
        <v>115</v>
      </c>
      <c r="Q3621" s="2" t="s">
        <v>1583</v>
      </c>
      <c r="R3621" s="2" t="s">
        <v>1584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8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5"/>
        <v>0</v>
      </c>
      <c r="AG3621" s="2">
        <f>4893.23+171</f>
        <v>5064.2299999999996</v>
      </c>
      <c r="AJ3621" s="2">
        <f t="shared" si="446"/>
        <v>0</v>
      </c>
      <c r="AK3621" s="2">
        <f t="shared" si="443"/>
        <v>1925.7700000000004</v>
      </c>
      <c r="AL3621" s="5">
        <f t="shared" si="442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2055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2785</v>
      </c>
      <c r="J3622" s="2" t="s">
        <v>2826</v>
      </c>
      <c r="K3622" s="2">
        <v>914732950</v>
      </c>
      <c r="L3622" s="2" t="s">
        <v>481</v>
      </c>
      <c r="M3622" s="2" t="s">
        <v>40</v>
      </c>
      <c r="O3622" s="2" t="s">
        <v>2827</v>
      </c>
      <c r="P3622" s="2" t="s">
        <v>1609</v>
      </c>
      <c r="Q3622" s="2" t="s">
        <v>1607</v>
      </c>
      <c r="R3622" s="2" t="s">
        <v>1608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8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1609</v>
      </c>
      <c r="AF3622" s="2">
        <f t="shared" si="445"/>
        <v>0</v>
      </c>
      <c r="AG3622" s="2">
        <v>10.15</v>
      </c>
      <c r="AJ3622" s="2">
        <f t="shared" si="446"/>
        <v>0</v>
      </c>
      <c r="AK3622" s="2">
        <f t="shared" si="443"/>
        <v>58.71</v>
      </c>
      <c r="AL3622" s="5">
        <f t="shared" si="442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1613</v>
      </c>
      <c r="Q3623" s="2" t="s">
        <v>2828</v>
      </c>
      <c r="R3623" s="2" t="s">
        <v>2829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8"/>
        <v>1</v>
      </c>
      <c r="Z3623" s="2" t="s">
        <v>105</v>
      </c>
      <c r="AA3623" s="2" t="s">
        <v>265</v>
      </c>
      <c r="AB3623" s="2" t="s">
        <v>1097</v>
      </c>
      <c r="AC3623" s="2" t="s">
        <v>1613</v>
      </c>
      <c r="AF3623" s="2">
        <f t="shared" si="445"/>
        <v>0</v>
      </c>
      <c r="AJ3623" s="2">
        <f t="shared" si="446"/>
        <v>0</v>
      </c>
      <c r="AK3623" s="2">
        <f t="shared" si="443"/>
        <v>9215</v>
      </c>
      <c r="AL3623" s="5">
        <f t="shared" si="442"/>
        <v>1</v>
      </c>
    </row>
    <row r="3624" spans="1:38" hidden="1" x14ac:dyDescent="0.2">
      <c r="A3624" s="2">
        <v>2026</v>
      </c>
      <c r="B3624" s="2">
        <v>4</v>
      </c>
      <c r="D3624" s="2" t="s">
        <v>1626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2830</v>
      </c>
      <c r="J3624" s="2" t="s">
        <v>2831</v>
      </c>
      <c r="L3624" s="2" t="s">
        <v>113</v>
      </c>
      <c r="M3624" s="2" t="s">
        <v>110</v>
      </c>
      <c r="O3624" s="2" t="s">
        <v>2832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8"/>
        <v>0.50380622837370237</v>
      </c>
      <c r="Z3624" s="2" t="s">
        <v>3233</v>
      </c>
      <c r="AA3624" s="2" t="s">
        <v>72</v>
      </c>
      <c r="AB3624" s="2" t="s">
        <v>120</v>
      </c>
      <c r="AC3624" s="2" t="s">
        <v>120</v>
      </c>
      <c r="AF3624" s="2">
        <f t="shared" si="445"/>
        <v>0</v>
      </c>
      <c r="AG3624" s="2">
        <v>14.34</v>
      </c>
      <c r="AJ3624" s="2">
        <f t="shared" si="446"/>
        <v>0</v>
      </c>
      <c r="AK3624" s="2">
        <f t="shared" si="443"/>
        <v>29.119999999999997</v>
      </c>
      <c r="AL3624" s="5">
        <f t="shared" si="442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2833</v>
      </c>
      <c r="R3625" s="2" t="s">
        <v>2834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448"/>
        <v>0.10089285714285706</v>
      </c>
      <c r="Z3625" s="2" t="s">
        <v>3233</v>
      </c>
      <c r="AA3625" s="2" t="s">
        <v>156</v>
      </c>
      <c r="AB3625" s="2" t="s">
        <v>3411</v>
      </c>
      <c r="AC3625" s="2" t="s">
        <v>1330</v>
      </c>
      <c r="AF3625" s="2">
        <f t="shared" si="445"/>
        <v>0</v>
      </c>
      <c r="AJ3625" s="2">
        <f t="shared" si="446"/>
        <v>0</v>
      </c>
      <c r="AK3625" s="2">
        <f t="shared" si="443"/>
        <v>1.129999999999999</v>
      </c>
      <c r="AL3625" s="5">
        <f t="shared" si="442"/>
        <v>0.10089285714285706</v>
      </c>
    </row>
    <row r="3626" spans="1:38" hidden="1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2835</v>
      </c>
      <c r="R3626" s="2" t="s">
        <v>2836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448"/>
        <v>0.10078828828828816</v>
      </c>
      <c r="Z3626" s="2" t="s">
        <v>3233</v>
      </c>
      <c r="AA3626" s="2" t="s">
        <v>579</v>
      </c>
      <c r="AB3626" s="2" t="s">
        <v>120</v>
      </c>
      <c r="AC3626" s="2" t="s">
        <v>1330</v>
      </c>
      <c r="AF3626" s="2">
        <f t="shared" si="445"/>
        <v>0</v>
      </c>
      <c r="AJ3626" s="2">
        <f t="shared" si="446"/>
        <v>0</v>
      </c>
      <c r="AK3626" s="2">
        <f t="shared" si="443"/>
        <v>8.9499999999999886</v>
      </c>
      <c r="AL3626" s="5">
        <f t="shared" si="442"/>
        <v>0.10078828828828816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2837</v>
      </c>
      <c r="P3627" s="2" t="s">
        <v>283</v>
      </c>
      <c r="Q3627" s="2" t="s">
        <v>1785</v>
      </c>
      <c r="R3627" s="2" t="s">
        <v>1786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8"/>
        <v>0.26733668341708544</v>
      </c>
      <c r="Z3627" s="2" t="s">
        <v>105</v>
      </c>
      <c r="AA3627" s="2" t="s">
        <v>388</v>
      </c>
      <c r="AB3627" s="2" t="s">
        <v>1333</v>
      </c>
      <c r="AC3627" s="2" t="s">
        <v>1330</v>
      </c>
      <c r="AF3627" s="2">
        <f t="shared" si="445"/>
        <v>0</v>
      </c>
      <c r="AG3627" s="2">
        <v>1458</v>
      </c>
      <c r="AJ3627" s="2">
        <f t="shared" si="446"/>
        <v>0</v>
      </c>
      <c r="AK3627" s="2">
        <f t="shared" si="443"/>
        <v>532</v>
      </c>
      <c r="AL3627" s="5">
        <f t="shared" si="442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2838</v>
      </c>
      <c r="P3628" s="2" t="s">
        <v>283</v>
      </c>
      <c r="Q3628" s="2" t="s">
        <v>1785</v>
      </c>
      <c r="R3628" s="2" t="s">
        <v>1786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8"/>
        <v>1</v>
      </c>
      <c r="Z3628" s="2" t="s">
        <v>105</v>
      </c>
      <c r="AF3628" s="2">
        <f t="shared" si="445"/>
        <v>0</v>
      </c>
      <c r="AJ3628" s="2">
        <f t="shared" si="446"/>
        <v>0</v>
      </c>
      <c r="AK3628" s="2">
        <f t="shared" si="443"/>
        <v>1990</v>
      </c>
      <c r="AL3628" s="5">
        <f t="shared" si="442"/>
        <v>1</v>
      </c>
    </row>
    <row r="3629" spans="1:38" hidden="1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1785</v>
      </c>
      <c r="R3629" s="2" t="s">
        <v>1786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8"/>
        <v>1</v>
      </c>
      <c r="Z3629" s="2" t="s">
        <v>105</v>
      </c>
      <c r="AF3629" s="2">
        <f t="shared" si="445"/>
        <v>0</v>
      </c>
      <c r="AJ3629" s="2">
        <f t="shared" si="446"/>
        <v>0</v>
      </c>
      <c r="AK3629" s="2">
        <f t="shared" si="443"/>
        <v>1791</v>
      </c>
      <c r="AL3629" s="5">
        <f t="shared" si="442"/>
        <v>1</v>
      </c>
    </row>
    <row r="3630" spans="1:38" hidden="1" x14ac:dyDescent="0.2">
      <c r="A3630" s="2">
        <v>2026</v>
      </c>
      <c r="B3630" s="2">
        <v>4</v>
      </c>
      <c r="D3630" s="2" t="s">
        <v>2758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2759</v>
      </c>
      <c r="J3630" s="2" t="s">
        <v>2760</v>
      </c>
      <c r="K3630" s="2">
        <v>962332957</v>
      </c>
      <c r="L3630" s="2" t="s">
        <v>113</v>
      </c>
      <c r="M3630" s="2" t="s">
        <v>110</v>
      </c>
      <c r="O3630" s="2" t="s">
        <v>2839</v>
      </c>
      <c r="P3630" s="2" t="s">
        <v>283</v>
      </c>
      <c r="Q3630" s="2" t="s">
        <v>1785</v>
      </c>
      <c r="R3630" s="2" t="s">
        <v>1786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8"/>
        <v>0.26733668341708544</v>
      </c>
      <c r="Z3630" s="2" t="s">
        <v>105</v>
      </c>
      <c r="AA3630" s="2" t="s">
        <v>388</v>
      </c>
      <c r="AB3630" s="2" t="s">
        <v>1333</v>
      </c>
      <c r="AC3630" s="2" t="s">
        <v>1330</v>
      </c>
      <c r="AF3630" s="2">
        <f t="shared" si="445"/>
        <v>0</v>
      </c>
      <c r="AG3630" s="2">
        <v>1458</v>
      </c>
      <c r="AJ3630" s="2">
        <f t="shared" si="446"/>
        <v>0</v>
      </c>
      <c r="AK3630" s="2">
        <f t="shared" si="443"/>
        <v>532</v>
      </c>
      <c r="AL3630" s="5">
        <f t="shared" si="442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2837</v>
      </c>
      <c r="P3631" s="2" t="s">
        <v>283</v>
      </c>
      <c r="Q3631" s="2" t="s">
        <v>1331</v>
      </c>
      <c r="R3631" s="2" t="s">
        <v>1332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8"/>
        <v>0.20703517587939699</v>
      </c>
      <c r="Z3631" s="2" t="s">
        <v>105</v>
      </c>
      <c r="AA3631" s="2" t="s">
        <v>388</v>
      </c>
      <c r="AB3631" s="2" t="s">
        <v>1333</v>
      </c>
      <c r="AC3631" s="2" t="s">
        <v>1330</v>
      </c>
      <c r="AF3631" s="2">
        <f t="shared" si="445"/>
        <v>0</v>
      </c>
      <c r="AG3631" s="2">
        <v>1578</v>
      </c>
      <c r="AJ3631" s="2">
        <f t="shared" si="446"/>
        <v>0</v>
      </c>
      <c r="AK3631" s="2">
        <f t="shared" si="443"/>
        <v>412</v>
      </c>
      <c r="AL3631" s="5">
        <f t="shared" ref="AL3631:AL3699" si="449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1331</v>
      </c>
      <c r="R3632" s="2" t="s">
        <v>1332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8"/>
        <v>0.18449612403100776</v>
      </c>
      <c r="Z3632" s="2" t="s">
        <v>105</v>
      </c>
      <c r="AA3632" s="2" t="s">
        <v>388</v>
      </c>
      <c r="AB3632" s="2" t="s">
        <v>1333</v>
      </c>
      <c r="AC3632" s="2" t="s">
        <v>1330</v>
      </c>
      <c r="AF3632" s="2">
        <f t="shared" si="445"/>
        <v>0</v>
      </c>
      <c r="AJ3632" s="2">
        <f t="shared" si="446"/>
        <v>0</v>
      </c>
      <c r="AK3632" s="2">
        <f t="shared" si="443"/>
        <v>357</v>
      </c>
      <c r="AL3632" s="5">
        <f t="shared" si="449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1578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1287</v>
      </c>
      <c r="R3633" s="2" t="s">
        <v>1288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8"/>
        <v>1</v>
      </c>
      <c r="Z3633" s="2" t="s">
        <v>105</v>
      </c>
      <c r="AA3633" s="2" t="s">
        <v>1579</v>
      </c>
      <c r="AB3633" s="2" t="s">
        <v>389</v>
      </c>
      <c r="AC3633" s="2" t="s">
        <v>1330</v>
      </c>
      <c r="AF3633" s="2">
        <f t="shared" si="445"/>
        <v>0</v>
      </c>
      <c r="AJ3633" s="2">
        <f t="shared" si="446"/>
        <v>0</v>
      </c>
      <c r="AK3633" s="2">
        <f t="shared" si="443"/>
        <v>250</v>
      </c>
      <c r="AL3633" s="5">
        <f t="shared" si="449"/>
        <v>1</v>
      </c>
    </row>
    <row r="3634" spans="1:38" hidden="1" x14ac:dyDescent="0.2">
      <c r="A3634" s="2">
        <v>2026</v>
      </c>
      <c r="B3634" s="2">
        <v>4</v>
      </c>
      <c r="D3634" s="2" t="s">
        <v>2840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2841</v>
      </c>
      <c r="J3634" s="2" t="s">
        <v>2842</v>
      </c>
      <c r="K3634" s="2">
        <v>918896903</v>
      </c>
      <c r="L3634" s="2" t="s">
        <v>100</v>
      </c>
      <c r="M3634" s="2" t="s">
        <v>41</v>
      </c>
      <c r="O3634" s="2" t="s">
        <v>2843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8"/>
        <v>0.22680412371134015</v>
      </c>
      <c r="Z3634" s="2" t="s">
        <v>3233</v>
      </c>
      <c r="AA3634" s="2" t="s">
        <v>72</v>
      </c>
      <c r="AB3634" s="2" t="s">
        <v>120</v>
      </c>
      <c r="AC3634" s="2" t="s">
        <v>120</v>
      </c>
      <c r="AF3634" s="2">
        <f t="shared" si="445"/>
        <v>0</v>
      </c>
      <c r="AG3634" s="2">
        <v>299.25</v>
      </c>
      <c r="AJ3634" s="2">
        <f t="shared" si="446"/>
        <v>0</v>
      </c>
      <c r="AK3634" s="2">
        <f t="shared" si="443"/>
        <v>87.779999999999973</v>
      </c>
      <c r="AL3634" s="5">
        <f t="shared" si="449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2840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2841</v>
      </c>
      <c r="J3635" s="2" t="s">
        <v>2842</v>
      </c>
      <c r="K3635" s="2">
        <v>918896903</v>
      </c>
      <c r="L3635" s="2" t="s">
        <v>100</v>
      </c>
      <c r="M3635" s="2" t="s">
        <v>41</v>
      </c>
      <c r="O3635" s="2" t="s">
        <v>2843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8"/>
        <v>0.38144329896907209</v>
      </c>
      <c r="Z3635" s="2" t="s">
        <v>3233</v>
      </c>
      <c r="AA3635" s="2" t="s">
        <v>72</v>
      </c>
      <c r="AB3635" s="2" t="s">
        <v>120</v>
      </c>
      <c r="AC3635" s="2" t="s">
        <v>120</v>
      </c>
      <c r="AF3635" s="2">
        <f t="shared" si="445"/>
        <v>0</v>
      </c>
      <c r="AG3635" s="2">
        <v>77.400000000000006</v>
      </c>
      <c r="AJ3635" s="2">
        <f t="shared" si="446"/>
        <v>0</v>
      </c>
      <c r="AK3635" s="2">
        <f t="shared" si="443"/>
        <v>47.72999999999999</v>
      </c>
      <c r="AL3635" s="5">
        <f t="shared" si="449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2527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3233</v>
      </c>
      <c r="AA3636" s="2" t="s">
        <v>46</v>
      </c>
      <c r="AB3636" s="2" t="s">
        <v>61</v>
      </c>
      <c r="AC3636" s="2" t="s">
        <v>3339</v>
      </c>
      <c r="AF3636" s="2">
        <f t="shared" si="445"/>
        <v>0</v>
      </c>
      <c r="AJ3636" s="2">
        <f t="shared" si="44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1558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1559</v>
      </c>
      <c r="J3637" s="2" t="s">
        <v>1560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3233</v>
      </c>
      <c r="AA3637" s="2" t="s">
        <v>46</v>
      </c>
      <c r="AB3637" s="2" t="s">
        <v>61</v>
      </c>
      <c r="AC3637" s="2" t="s">
        <v>3339</v>
      </c>
      <c r="AF3637" s="2">
        <f t="shared" si="445"/>
        <v>0</v>
      </c>
      <c r="AJ3637" s="2">
        <f t="shared" si="446"/>
        <v>0</v>
      </c>
      <c r="AK3637" s="2">
        <f t="shared" si="443"/>
        <v>109.80200000000002</v>
      </c>
      <c r="AL3637" s="5">
        <f t="shared" si="449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2527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3233</v>
      </c>
      <c r="AA3638" s="2" t="s">
        <v>46</v>
      </c>
      <c r="AB3638" s="2" t="s">
        <v>61</v>
      </c>
      <c r="AC3638" s="2" t="s">
        <v>3339</v>
      </c>
      <c r="AF3638" s="2">
        <f t="shared" si="445"/>
        <v>0</v>
      </c>
      <c r="AJ3638" s="2">
        <f t="shared" si="44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hidden="1" x14ac:dyDescent="0.2">
      <c r="A3639" s="2">
        <v>2026</v>
      </c>
      <c r="B3639" s="2">
        <v>4</v>
      </c>
      <c r="D3639" s="2" t="s">
        <v>2844</v>
      </c>
      <c r="E3639" s="2" t="s">
        <v>38</v>
      </c>
      <c r="G3639" s="2">
        <v>184822033</v>
      </c>
      <c r="I3639" s="2" t="s">
        <v>2845</v>
      </c>
      <c r="L3639" s="2" t="s">
        <v>462</v>
      </c>
      <c r="M3639" s="2" t="s">
        <v>110</v>
      </c>
      <c r="O3639" s="2" t="s">
        <v>2846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50">(T3639-W3639)/T3639</f>
        <v>0.42321428571428571</v>
      </c>
      <c r="Z3639" s="2" t="s">
        <v>3233</v>
      </c>
      <c r="AA3639" s="2" t="s">
        <v>46</v>
      </c>
      <c r="AB3639" s="2" t="s">
        <v>47</v>
      </c>
      <c r="AC3639" s="2" t="s">
        <v>48</v>
      </c>
      <c r="AF3639" s="2">
        <f t="shared" si="445"/>
        <v>0</v>
      </c>
      <c r="AG3639" s="2">
        <v>14.535</v>
      </c>
      <c r="AH3639" s="2">
        <v>25.2</v>
      </c>
      <c r="AJ3639" s="2">
        <f t="shared" si="446"/>
        <v>0</v>
      </c>
      <c r="AK3639" s="2">
        <f t="shared" ref="AK3639:AK3701" si="451">T3639-W3639</f>
        <v>10.664999999999999</v>
      </c>
      <c r="AL3639" s="5">
        <f t="shared" si="449"/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2847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50"/>
        <v>0.52380952380952384</v>
      </c>
      <c r="Z3640" s="2" t="s">
        <v>3233</v>
      </c>
      <c r="AA3640" s="2" t="s">
        <v>46</v>
      </c>
      <c r="AB3640" s="2" t="s">
        <v>47</v>
      </c>
      <c r="AC3640" s="2" t="s">
        <v>48</v>
      </c>
      <c r="AF3640" s="2">
        <f t="shared" si="445"/>
        <v>0</v>
      </c>
      <c r="AG3640" s="2">
        <v>10</v>
      </c>
      <c r="AH3640" s="2">
        <v>21</v>
      </c>
      <c r="AJ3640" s="2">
        <f t="shared" si="446"/>
        <v>0</v>
      </c>
      <c r="AK3640" s="2">
        <f t="shared" si="451"/>
        <v>11</v>
      </c>
      <c r="AL3640" s="5">
        <f t="shared" si="449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2844</v>
      </c>
      <c r="E3641" s="2" t="s">
        <v>38</v>
      </c>
      <c r="G3641" s="2">
        <v>184822033</v>
      </c>
      <c r="I3641" s="2" t="s">
        <v>2848</v>
      </c>
      <c r="L3641" s="2" t="s">
        <v>462</v>
      </c>
      <c r="M3641" s="2" t="s">
        <v>110</v>
      </c>
      <c r="O3641" s="2" t="s">
        <v>2849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50"/>
        <v>0.4919047619047619</v>
      </c>
      <c r="Z3641" s="2" t="s">
        <v>3233</v>
      </c>
      <c r="AA3641" s="2" t="s">
        <v>46</v>
      </c>
      <c r="AB3641" s="2" t="s">
        <v>47</v>
      </c>
      <c r="AC3641" s="2" t="s">
        <v>48</v>
      </c>
      <c r="AF3641" s="2">
        <f t="shared" si="445"/>
        <v>0</v>
      </c>
      <c r="AG3641" s="2">
        <v>10.67</v>
      </c>
      <c r="AH3641" s="2">
        <v>21</v>
      </c>
      <c r="AJ3641" s="2">
        <f t="shared" si="446"/>
        <v>0</v>
      </c>
      <c r="AK3641" s="2">
        <f t="shared" si="451"/>
        <v>10.33</v>
      </c>
      <c r="AL3641" s="5">
        <f t="shared" si="449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2850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50"/>
        <v>0.46762608695652175</v>
      </c>
      <c r="Z3642" s="2" t="s">
        <v>3233</v>
      </c>
      <c r="AA3642" s="2" t="s">
        <v>76</v>
      </c>
      <c r="AB3642" s="2" t="s">
        <v>77</v>
      </c>
      <c r="AC3642" s="2" t="s">
        <v>78</v>
      </c>
      <c r="AF3642" s="2">
        <f t="shared" si="445"/>
        <v>0</v>
      </c>
      <c r="AG3642" s="2">
        <v>122.446</v>
      </c>
      <c r="AH3642" s="2">
        <v>230</v>
      </c>
      <c r="AJ3642" s="2">
        <f t="shared" si="446"/>
        <v>0</v>
      </c>
      <c r="AK3642" s="2">
        <f t="shared" si="451"/>
        <v>107.554</v>
      </c>
      <c r="AL3642" s="5">
        <f t="shared" si="449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2850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50"/>
        <v>0</v>
      </c>
      <c r="Z3643" s="2" t="s">
        <v>3233</v>
      </c>
      <c r="AA3643" s="2" t="s">
        <v>97</v>
      </c>
      <c r="AB3643" s="2" t="s">
        <v>77</v>
      </c>
      <c r="AC3643" s="2" t="s">
        <v>94</v>
      </c>
      <c r="AF3643" s="2">
        <f t="shared" si="445"/>
        <v>0</v>
      </c>
      <c r="AG3643" s="2">
        <v>1.48</v>
      </c>
      <c r="AH3643" s="2">
        <v>1.48</v>
      </c>
      <c r="AJ3643" s="2">
        <f t="shared" si="446"/>
        <v>0</v>
      </c>
      <c r="AK3643" s="2">
        <f t="shared" si="451"/>
        <v>0</v>
      </c>
      <c r="AL3643" s="5">
        <f t="shared" si="449"/>
        <v>0</v>
      </c>
    </row>
    <row r="3644" spans="1:38" hidden="1" x14ac:dyDescent="0.2">
      <c r="A3644" s="2">
        <v>2026</v>
      </c>
      <c r="B3644" s="2">
        <v>4</v>
      </c>
      <c r="D3644" s="2" t="s">
        <v>982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2">6.6267*S3644</f>
        <v>6.6266999999999996</v>
      </c>
      <c r="X3644" s="5">
        <f t="shared" si="450"/>
        <v>0.49025384615384621</v>
      </c>
      <c r="Z3644" s="2" t="s">
        <v>3233</v>
      </c>
      <c r="AA3644" s="2" t="s">
        <v>46</v>
      </c>
      <c r="AB3644" s="2" t="s">
        <v>47</v>
      </c>
      <c r="AC3644" s="2" t="s">
        <v>48</v>
      </c>
      <c r="AF3644" s="2">
        <f t="shared" si="445"/>
        <v>0</v>
      </c>
      <c r="AG3644" s="2">
        <v>6.6266999999999996</v>
      </c>
      <c r="AH3644" s="2">
        <v>12</v>
      </c>
      <c r="AJ3644" s="2">
        <f t="shared" si="446"/>
        <v>0</v>
      </c>
      <c r="AK3644" s="2">
        <f t="shared" si="451"/>
        <v>6.3733000000000004</v>
      </c>
      <c r="AL3644" s="5">
        <f t="shared" si="449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2"/>
        <v>19.880099999999999</v>
      </c>
      <c r="X3645" s="5">
        <f t="shared" si="450"/>
        <v>0.49025384615384621</v>
      </c>
      <c r="Z3645" s="2" t="s">
        <v>3233</v>
      </c>
      <c r="AA3645" s="2" t="s">
        <v>46</v>
      </c>
      <c r="AB3645" s="2" t="s">
        <v>47</v>
      </c>
      <c r="AC3645" s="2" t="s">
        <v>48</v>
      </c>
      <c r="AF3645" s="2">
        <f t="shared" si="445"/>
        <v>0</v>
      </c>
      <c r="AG3645" s="2">
        <v>6.6266999999999996</v>
      </c>
      <c r="AH3645" s="2">
        <v>12</v>
      </c>
      <c r="AJ3645" s="2">
        <f t="shared" si="446"/>
        <v>0</v>
      </c>
      <c r="AK3645" s="2">
        <f t="shared" si="451"/>
        <v>19.119900000000001</v>
      </c>
      <c r="AL3645" s="5">
        <f t="shared" si="449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2544</v>
      </c>
      <c r="L3646" s="2" t="s">
        <v>100</v>
      </c>
      <c r="M3646" s="2" t="s">
        <v>81</v>
      </c>
      <c r="O3646" s="2" t="s">
        <v>2851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2"/>
        <v>6.6266999999999996</v>
      </c>
      <c r="X3646" s="5">
        <f t="shared" si="450"/>
        <v>0.65485937500000002</v>
      </c>
      <c r="Z3646" s="2" t="s">
        <v>3233</v>
      </c>
      <c r="AA3646" s="2" t="s">
        <v>46</v>
      </c>
      <c r="AB3646" s="2" t="s">
        <v>47</v>
      </c>
      <c r="AC3646" s="2" t="s">
        <v>48</v>
      </c>
      <c r="AF3646" s="2">
        <f t="shared" si="445"/>
        <v>0</v>
      </c>
      <c r="AG3646" s="2">
        <v>6.6266999999999996</v>
      </c>
      <c r="AH3646" s="2">
        <v>12</v>
      </c>
      <c r="AJ3646" s="2">
        <f t="shared" si="446"/>
        <v>0</v>
      </c>
      <c r="AK3646" s="2">
        <f t="shared" si="451"/>
        <v>12.5733</v>
      </c>
      <c r="AL3646" s="5">
        <f t="shared" si="449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2852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2"/>
        <v>6.6266999999999996</v>
      </c>
      <c r="X3647" s="5">
        <f t="shared" si="450"/>
        <v>0.44777500000000003</v>
      </c>
      <c r="Z3647" s="2" t="s">
        <v>3233</v>
      </c>
      <c r="AA3647" s="2" t="s">
        <v>46</v>
      </c>
      <c r="AB3647" s="2" t="s">
        <v>47</v>
      </c>
      <c r="AC3647" s="2" t="s">
        <v>48</v>
      </c>
      <c r="AF3647" s="2">
        <f t="shared" si="445"/>
        <v>0</v>
      </c>
      <c r="AG3647" s="2">
        <v>6.6266999999999996</v>
      </c>
      <c r="AH3647" s="2">
        <v>12</v>
      </c>
      <c r="AJ3647" s="2">
        <f t="shared" si="446"/>
        <v>0</v>
      </c>
      <c r="AK3647" s="2">
        <f t="shared" si="451"/>
        <v>5.3733000000000004</v>
      </c>
      <c r="AL3647" s="5">
        <f t="shared" si="449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2"/>
        <v>13.253399999999999</v>
      </c>
      <c r="X3648" s="5">
        <f t="shared" si="450"/>
        <v>0.44777500000000003</v>
      </c>
      <c r="Z3648" s="2" t="s">
        <v>3233</v>
      </c>
      <c r="AA3648" s="2" t="s">
        <v>46</v>
      </c>
      <c r="AB3648" s="2" t="s">
        <v>47</v>
      </c>
      <c r="AC3648" s="2" t="s">
        <v>48</v>
      </c>
      <c r="AF3648" s="2">
        <f t="shared" si="445"/>
        <v>0</v>
      </c>
      <c r="AG3648" s="2">
        <v>6.6266999999999996</v>
      </c>
      <c r="AH3648" s="2">
        <v>12</v>
      </c>
      <c r="AJ3648" s="2">
        <f t="shared" si="446"/>
        <v>0</v>
      </c>
      <c r="AK3648" s="2">
        <f t="shared" si="451"/>
        <v>10.746600000000001</v>
      </c>
      <c r="AL3648" s="5">
        <f t="shared" si="449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2853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2"/>
        <v>13.253399999999999</v>
      </c>
      <c r="X3649" s="5">
        <f t="shared" si="450"/>
        <v>0.44777500000000003</v>
      </c>
      <c r="Z3649" s="2" t="s">
        <v>3233</v>
      </c>
      <c r="AA3649" s="2" t="s">
        <v>46</v>
      </c>
      <c r="AB3649" s="2" t="s">
        <v>47</v>
      </c>
      <c r="AC3649" s="2" t="s">
        <v>48</v>
      </c>
      <c r="AF3649" s="2">
        <f t="shared" si="445"/>
        <v>0</v>
      </c>
      <c r="AG3649" s="2">
        <v>6.6266999999999996</v>
      </c>
      <c r="AH3649" s="2">
        <v>12</v>
      </c>
      <c r="AJ3649" s="2">
        <f t="shared" si="446"/>
        <v>0</v>
      </c>
      <c r="AK3649" s="2">
        <f t="shared" si="451"/>
        <v>10.746600000000001</v>
      </c>
      <c r="AL3649" s="5">
        <f t="shared" si="449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1366</v>
      </c>
      <c r="R3650" s="2" t="s">
        <v>1367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50"/>
        <v>0.71491228070175439</v>
      </c>
      <c r="Z3650" s="2" t="s">
        <v>3233</v>
      </c>
      <c r="AA3650" s="2" t="s">
        <v>46</v>
      </c>
      <c r="AB3650" s="2" t="s">
        <v>47</v>
      </c>
      <c r="AC3650" s="2" t="s">
        <v>48</v>
      </c>
      <c r="AF3650" s="2">
        <f t="shared" si="445"/>
        <v>0</v>
      </c>
      <c r="AJ3650" s="2">
        <f t="shared" si="446"/>
        <v>0</v>
      </c>
      <c r="AK3650" s="2">
        <f t="shared" si="451"/>
        <v>48.900000000000006</v>
      </c>
      <c r="AL3650" s="5">
        <f t="shared" si="449"/>
        <v>0.71491228070175439</v>
      </c>
    </row>
    <row r="3651" spans="1:38" hidden="1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3">11.295*S3651</f>
        <v>11.295</v>
      </c>
      <c r="X3651" s="5">
        <f t="shared" si="450"/>
        <v>0.68624999999999992</v>
      </c>
      <c r="Z3651" s="2" t="s">
        <v>3233</v>
      </c>
      <c r="AA3651" s="2" t="s">
        <v>46</v>
      </c>
      <c r="AB3651" s="2" t="s">
        <v>47</v>
      </c>
      <c r="AC3651" s="2" t="s">
        <v>48</v>
      </c>
      <c r="AF3651" s="2">
        <f t="shared" ref="AF3651:AF3714" si="454">AJ3651</f>
        <v>0</v>
      </c>
      <c r="AJ3651" s="2">
        <f t="shared" ref="AJ3651:AJ3714" si="455">AI3651*T3651</f>
        <v>0</v>
      </c>
      <c r="AK3651" s="2">
        <f t="shared" si="451"/>
        <v>24.704999999999998</v>
      </c>
      <c r="AL3651" s="5">
        <f t="shared" si="449"/>
        <v>0.68624999999999992</v>
      </c>
    </row>
    <row r="3652" spans="1:38" hidden="1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3"/>
        <v>22.59</v>
      </c>
      <c r="X3652" s="5">
        <f t="shared" si="450"/>
        <v>0.68624999999999992</v>
      </c>
      <c r="Z3652" s="2" t="s">
        <v>3233</v>
      </c>
      <c r="AA3652" s="2" t="s">
        <v>46</v>
      </c>
      <c r="AB3652" s="2" t="s">
        <v>47</v>
      </c>
      <c r="AC3652" s="2" t="s">
        <v>48</v>
      </c>
      <c r="AF3652" s="2">
        <f t="shared" si="454"/>
        <v>0</v>
      </c>
      <c r="AJ3652" s="2">
        <f t="shared" si="455"/>
        <v>0</v>
      </c>
      <c r="AK3652" s="2">
        <f t="shared" si="451"/>
        <v>49.41</v>
      </c>
      <c r="AL3652" s="5">
        <f t="shared" si="449"/>
        <v>0.68624999999999992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2854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50"/>
        <v>0.46762608695652175</v>
      </c>
      <c r="Z3653" s="2" t="s">
        <v>3233</v>
      </c>
      <c r="AA3653" s="2" t="s">
        <v>76</v>
      </c>
      <c r="AB3653" s="2" t="s">
        <v>77</v>
      </c>
      <c r="AC3653" s="2" t="s">
        <v>78</v>
      </c>
      <c r="AF3653" s="2">
        <f t="shared" si="454"/>
        <v>0</v>
      </c>
      <c r="AG3653" s="2">
        <v>122.446</v>
      </c>
      <c r="AH3653" s="2">
        <v>230</v>
      </c>
      <c r="AJ3653" s="2">
        <f t="shared" si="455"/>
        <v>0</v>
      </c>
      <c r="AK3653" s="2">
        <f t="shared" si="451"/>
        <v>107.554</v>
      </c>
      <c r="AL3653" s="5">
        <f t="shared" si="449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2855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50"/>
        <v>0.31428571428571428</v>
      </c>
      <c r="Z3654" s="2" t="s">
        <v>3233</v>
      </c>
      <c r="AA3654" s="2" t="s">
        <v>46</v>
      </c>
      <c r="AB3654" s="2" t="s">
        <v>47</v>
      </c>
      <c r="AC3654" s="2" t="s">
        <v>48</v>
      </c>
      <c r="AF3654" s="2">
        <f t="shared" si="454"/>
        <v>0</v>
      </c>
      <c r="AG3654" s="2">
        <v>14.4</v>
      </c>
      <c r="AH3654" s="2">
        <v>21</v>
      </c>
      <c r="AJ3654" s="2">
        <f t="shared" si="455"/>
        <v>0</v>
      </c>
      <c r="AK3654" s="2">
        <f t="shared" si="451"/>
        <v>6.6</v>
      </c>
      <c r="AL3654" s="5">
        <f t="shared" si="449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2854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50"/>
        <v>0</v>
      </c>
      <c r="Z3655" s="2" t="s">
        <v>3233</v>
      </c>
      <c r="AA3655" s="2" t="s">
        <v>97</v>
      </c>
      <c r="AB3655" s="2" t="s">
        <v>77</v>
      </c>
      <c r="AC3655" s="2" t="s">
        <v>94</v>
      </c>
      <c r="AF3655" s="2">
        <f t="shared" si="454"/>
        <v>0</v>
      </c>
      <c r="AG3655" s="2">
        <v>1.48</v>
      </c>
      <c r="AH3655" s="2">
        <v>1.48</v>
      </c>
      <c r="AJ3655" s="2">
        <f t="shared" si="455"/>
        <v>0</v>
      </c>
      <c r="AK3655" s="2">
        <f t="shared" si="451"/>
        <v>0</v>
      </c>
      <c r="AL3655" s="5">
        <f t="shared" si="449"/>
        <v>0</v>
      </c>
    </row>
    <row r="3656" spans="1:38" hidden="1" x14ac:dyDescent="0.2">
      <c r="A3656" s="2">
        <v>2026</v>
      </c>
      <c r="B3656" s="2">
        <v>4</v>
      </c>
      <c r="D3656" s="2" t="s">
        <v>982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50"/>
        <v>0.58491111111111116</v>
      </c>
      <c r="Z3656" s="2" t="s">
        <v>3233</v>
      </c>
      <c r="AA3656" s="2" t="s">
        <v>46</v>
      </c>
      <c r="AB3656" s="2" t="s">
        <v>47</v>
      </c>
      <c r="AC3656" s="2" t="s">
        <v>48</v>
      </c>
      <c r="AF3656" s="2">
        <f t="shared" si="454"/>
        <v>0</v>
      </c>
      <c r="AG3656" s="2">
        <v>3.7357999999999998</v>
      </c>
      <c r="AH3656" s="2">
        <v>9</v>
      </c>
      <c r="AJ3656" s="2">
        <f t="shared" si="455"/>
        <v>0</v>
      </c>
      <c r="AK3656" s="2">
        <f t="shared" si="451"/>
        <v>5.2642000000000007</v>
      </c>
      <c r="AL3656" s="5">
        <f t="shared" si="449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2852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50"/>
        <v>0.58491111111111116</v>
      </c>
      <c r="Z3657" s="2" t="s">
        <v>3233</v>
      </c>
      <c r="AA3657" s="2" t="s">
        <v>46</v>
      </c>
      <c r="AB3657" s="2" t="s">
        <v>47</v>
      </c>
      <c r="AC3657" s="2" t="s">
        <v>48</v>
      </c>
      <c r="AF3657" s="2">
        <f t="shared" si="454"/>
        <v>0</v>
      </c>
      <c r="AG3657" s="2">
        <v>3.7357999999999998</v>
      </c>
      <c r="AH3657" s="2">
        <v>9</v>
      </c>
      <c r="AJ3657" s="2">
        <f t="shared" si="455"/>
        <v>0</v>
      </c>
      <c r="AK3657" s="2">
        <f t="shared" si="451"/>
        <v>5.2642000000000007</v>
      </c>
      <c r="AL3657" s="5">
        <f t="shared" si="449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2844</v>
      </c>
      <c r="E3658" s="2" t="s">
        <v>38</v>
      </c>
      <c r="G3658" s="2">
        <v>184822033</v>
      </c>
      <c r="I3658" s="2" t="s">
        <v>2848</v>
      </c>
      <c r="L3658" s="2" t="s">
        <v>462</v>
      </c>
      <c r="M3658" s="2" t="s">
        <v>110</v>
      </c>
      <c r="O3658" s="2" t="s">
        <v>2846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50"/>
        <v>0.50950925925925927</v>
      </c>
      <c r="Z3658" s="2" t="s">
        <v>3233</v>
      </c>
      <c r="AA3658" s="2" t="s">
        <v>46</v>
      </c>
      <c r="AB3658" s="2" t="s">
        <v>47</v>
      </c>
      <c r="AC3658" s="2" t="s">
        <v>48</v>
      </c>
      <c r="AF3658" s="2">
        <f t="shared" si="454"/>
        <v>0</v>
      </c>
      <c r="AG3658" s="2">
        <v>5.2972999999999999</v>
      </c>
      <c r="AH3658" s="2">
        <v>10.8</v>
      </c>
      <c r="AJ3658" s="2">
        <f t="shared" si="455"/>
        <v>0</v>
      </c>
      <c r="AK3658" s="2">
        <f t="shared" si="451"/>
        <v>5.5027000000000008</v>
      </c>
      <c r="AL3658" s="5">
        <f t="shared" si="449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2847</v>
      </c>
      <c r="P3659" s="2" t="s">
        <v>43</v>
      </c>
      <c r="Q3659" s="2" t="s">
        <v>2856</v>
      </c>
      <c r="R3659" s="2" t="s">
        <v>2857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50"/>
        <v>0.57566666666666666</v>
      </c>
      <c r="Z3659" s="2" t="s">
        <v>3233</v>
      </c>
      <c r="AA3659" s="2" t="s">
        <v>46</v>
      </c>
      <c r="AB3659" s="2" t="s">
        <v>47</v>
      </c>
      <c r="AC3659" s="2" t="s">
        <v>48</v>
      </c>
      <c r="AF3659" s="2">
        <f t="shared" si="454"/>
        <v>0</v>
      </c>
      <c r="AG3659" s="2">
        <v>12.73</v>
      </c>
      <c r="AH3659" s="2">
        <v>30</v>
      </c>
      <c r="AJ3659" s="2">
        <f t="shared" si="455"/>
        <v>0</v>
      </c>
      <c r="AK3659" s="2">
        <f t="shared" si="451"/>
        <v>17.27</v>
      </c>
      <c r="AL3659" s="5">
        <f t="shared" si="449"/>
        <v>0.57566666666666666</v>
      </c>
    </row>
    <row r="3660" spans="1:38" hidden="1" x14ac:dyDescent="0.2">
      <c r="A3660" s="2">
        <v>2026</v>
      </c>
      <c r="B3660" s="2">
        <v>4</v>
      </c>
      <c r="C3660" s="2" t="s">
        <v>3452</v>
      </c>
      <c r="D3660" s="2" t="s">
        <v>1893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50"/>
        <v>0.47233333333333333</v>
      </c>
      <c r="Z3660" s="2" t="s">
        <v>3233</v>
      </c>
      <c r="AA3660" s="2" t="s">
        <v>46</v>
      </c>
      <c r="AB3660" s="2" t="s">
        <v>57</v>
      </c>
      <c r="AC3660" s="2" t="s">
        <v>58</v>
      </c>
      <c r="AF3660" s="2">
        <f t="shared" si="454"/>
        <v>0</v>
      </c>
      <c r="AJ3660" s="2">
        <f t="shared" si="455"/>
        <v>0</v>
      </c>
      <c r="AK3660" s="2">
        <f t="shared" si="451"/>
        <v>14.17</v>
      </c>
      <c r="AL3660" s="5">
        <f t="shared" si="449"/>
        <v>0.47233333333333333</v>
      </c>
    </row>
    <row r="3661" spans="1:38" hidden="1" x14ac:dyDescent="0.2">
      <c r="A3661" s="2">
        <v>2026</v>
      </c>
      <c r="B3661" s="2">
        <v>4</v>
      </c>
      <c r="D3661" s="2" t="s">
        <v>2522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2523</v>
      </c>
      <c r="J3661" s="2" t="s">
        <v>2524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50"/>
        <v>0.47734374999999996</v>
      </c>
      <c r="Z3661" s="2" t="s">
        <v>3233</v>
      </c>
      <c r="AA3661" s="2" t="s">
        <v>46</v>
      </c>
      <c r="AB3661" s="2" t="s">
        <v>57</v>
      </c>
      <c r="AC3661" s="2" t="s">
        <v>58</v>
      </c>
      <c r="AF3661" s="2">
        <f t="shared" si="454"/>
        <v>0</v>
      </c>
      <c r="AJ3661" s="2">
        <f t="shared" si="455"/>
        <v>0</v>
      </c>
      <c r="AK3661" s="2">
        <f t="shared" si="451"/>
        <v>9.1649999999999991</v>
      </c>
      <c r="AL3661" s="5">
        <f t="shared" si="449"/>
        <v>0.47734374999999996</v>
      </c>
    </row>
    <row r="3662" spans="1:38" hidden="1" x14ac:dyDescent="0.2">
      <c r="A3662" s="2">
        <v>2026</v>
      </c>
      <c r="B3662" s="2">
        <v>4</v>
      </c>
      <c r="D3662" s="2" t="s">
        <v>2522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2523</v>
      </c>
      <c r="J3662" s="2" t="s">
        <v>2524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50"/>
        <v>0.46823076923076917</v>
      </c>
      <c r="Z3662" s="2" t="s">
        <v>3233</v>
      </c>
      <c r="AA3662" s="2" t="s">
        <v>46</v>
      </c>
      <c r="AB3662" s="2" t="s">
        <v>57</v>
      </c>
      <c r="AC3662" s="2" t="s">
        <v>58</v>
      </c>
      <c r="AF3662" s="2">
        <f t="shared" si="454"/>
        <v>0</v>
      </c>
      <c r="AJ3662" s="2">
        <f t="shared" si="455"/>
        <v>0</v>
      </c>
      <c r="AK3662" s="2">
        <f t="shared" si="451"/>
        <v>10.956599999999998</v>
      </c>
      <c r="AL3662" s="5">
        <f t="shared" si="449"/>
        <v>0.46823076923076917</v>
      </c>
    </row>
    <row r="3663" spans="1:38" hidden="1" x14ac:dyDescent="0.2">
      <c r="A3663" s="2">
        <v>2026</v>
      </c>
      <c r="B3663" s="2">
        <v>3</v>
      </c>
      <c r="D3663" s="2" t="s">
        <v>2858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50"/>
        <v>0.44777500000000003</v>
      </c>
      <c r="Z3663" s="2" t="s">
        <v>3233</v>
      </c>
      <c r="AA3663" s="2" t="s">
        <v>46</v>
      </c>
      <c r="AB3663" s="2" t="s">
        <v>47</v>
      </c>
      <c r="AC3663" s="2" t="s">
        <v>48</v>
      </c>
      <c r="AF3663" s="2">
        <f t="shared" si="454"/>
        <v>0</v>
      </c>
      <c r="AG3663" s="2">
        <v>6.6266999999999996</v>
      </c>
      <c r="AH3663" s="2">
        <v>12</v>
      </c>
      <c r="AJ3663" s="2">
        <f t="shared" si="455"/>
        <v>0</v>
      </c>
      <c r="AK3663" s="2">
        <f t="shared" si="451"/>
        <v>5.3733000000000004</v>
      </c>
      <c r="AL3663" s="5">
        <f t="shared" si="449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50"/>
        <v>0.49849305555555556</v>
      </c>
      <c r="Z3664" s="2" t="s">
        <v>3233</v>
      </c>
      <c r="AA3664" s="2" t="s">
        <v>46</v>
      </c>
      <c r="AB3664" s="2" t="s">
        <v>57</v>
      </c>
      <c r="AC3664" s="2" t="s">
        <v>58</v>
      </c>
      <c r="AF3664" s="2">
        <f t="shared" si="454"/>
        <v>0</v>
      </c>
      <c r="AG3664" s="2">
        <v>7.2217000000000002</v>
      </c>
      <c r="AH3664" s="2">
        <v>14.4</v>
      </c>
      <c r="AJ3664" s="2">
        <f t="shared" si="455"/>
        <v>0</v>
      </c>
      <c r="AK3664" s="2">
        <f t="shared" si="451"/>
        <v>7.1783000000000001</v>
      </c>
      <c r="AL3664" s="5">
        <f t="shared" si="449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2859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50"/>
        <v>0.49849305555555556</v>
      </c>
      <c r="Z3665" s="2" t="s">
        <v>3233</v>
      </c>
      <c r="AA3665" s="2" t="s">
        <v>46</v>
      </c>
      <c r="AB3665" s="2" t="s">
        <v>57</v>
      </c>
      <c r="AC3665" s="2" t="s">
        <v>58</v>
      </c>
      <c r="AF3665" s="2">
        <f t="shared" si="454"/>
        <v>0</v>
      </c>
      <c r="AG3665" s="2">
        <v>7.2217000000000002</v>
      </c>
      <c r="AH3665" s="2">
        <v>14.4</v>
      </c>
      <c r="AJ3665" s="2">
        <f t="shared" si="455"/>
        <v>0</v>
      </c>
      <c r="AK3665" s="2">
        <f t="shared" si="451"/>
        <v>7.1783000000000001</v>
      </c>
      <c r="AL3665" s="5">
        <f t="shared" si="449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6">9.075*S3666</f>
        <v>9.0749999999999993</v>
      </c>
      <c r="X3666" s="5">
        <f t="shared" si="450"/>
        <v>0.47844827586206895</v>
      </c>
      <c r="Z3666" s="2" t="s">
        <v>3233</v>
      </c>
      <c r="AA3666" s="2" t="s">
        <v>46</v>
      </c>
      <c r="AB3666" s="2" t="s">
        <v>57</v>
      </c>
      <c r="AC3666" s="2" t="s">
        <v>58</v>
      </c>
      <c r="AF3666" s="2">
        <f t="shared" si="454"/>
        <v>0</v>
      </c>
      <c r="AJ3666" s="2">
        <f t="shared" si="455"/>
        <v>0</v>
      </c>
      <c r="AK3666" s="2">
        <f t="shared" si="451"/>
        <v>8.3249999999999993</v>
      </c>
      <c r="AL3666" s="5">
        <f t="shared" si="449"/>
        <v>0.47844827586206895</v>
      </c>
    </row>
    <row r="3667" spans="1:38" hidden="1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2859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6"/>
        <v>9.0749999999999993</v>
      </c>
      <c r="X3667" s="5">
        <f t="shared" si="450"/>
        <v>0.47844827586206895</v>
      </c>
      <c r="Z3667" s="2" t="s">
        <v>3233</v>
      </c>
      <c r="AA3667" s="2" t="s">
        <v>46</v>
      </c>
      <c r="AB3667" s="2" t="s">
        <v>57</v>
      </c>
      <c r="AC3667" s="2" t="s">
        <v>58</v>
      </c>
      <c r="AF3667" s="2">
        <f t="shared" si="454"/>
        <v>0</v>
      </c>
      <c r="AJ3667" s="2">
        <f t="shared" si="455"/>
        <v>0</v>
      </c>
      <c r="AK3667" s="2">
        <f t="shared" si="451"/>
        <v>8.3249999999999993</v>
      </c>
      <c r="AL3667" s="5">
        <f t="shared" si="449"/>
        <v>0.47844827586206895</v>
      </c>
    </row>
    <row r="3668" spans="1:38" hidden="1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50"/>
        <v>1</v>
      </c>
      <c r="Z3668" s="2" t="s">
        <v>3233</v>
      </c>
      <c r="AA3668" s="2" t="s">
        <v>46</v>
      </c>
      <c r="AB3668" s="2" t="s">
        <v>57</v>
      </c>
      <c r="AC3668" s="2" t="s">
        <v>58</v>
      </c>
      <c r="AF3668" s="2">
        <f t="shared" si="454"/>
        <v>0</v>
      </c>
      <c r="AJ3668" s="2">
        <f t="shared" si="455"/>
        <v>0</v>
      </c>
      <c r="AK3668" s="2">
        <f t="shared" si="451"/>
        <v>21</v>
      </c>
      <c r="AL3668" s="5">
        <f t="shared" si="449"/>
        <v>1</v>
      </c>
    </row>
    <row r="3669" spans="1:38" hidden="1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2859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50"/>
        <v>1</v>
      </c>
      <c r="Z3669" s="2" t="s">
        <v>3233</v>
      </c>
      <c r="AA3669" s="2" t="s">
        <v>46</v>
      </c>
      <c r="AB3669" s="2" t="s">
        <v>57</v>
      </c>
      <c r="AC3669" s="2" t="s">
        <v>58</v>
      </c>
      <c r="AF3669" s="2">
        <f t="shared" si="454"/>
        <v>0</v>
      </c>
      <c r="AJ3669" s="2">
        <f t="shared" si="455"/>
        <v>0</v>
      </c>
      <c r="AK3669" s="2">
        <f t="shared" si="451"/>
        <v>21</v>
      </c>
      <c r="AL3669" s="5">
        <f t="shared" si="449"/>
        <v>1</v>
      </c>
    </row>
    <row r="3670" spans="1:38" hidden="1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2860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50"/>
        <v>1</v>
      </c>
      <c r="Z3670" s="2" t="s">
        <v>3233</v>
      </c>
      <c r="AA3670" s="2" t="s">
        <v>46</v>
      </c>
      <c r="AB3670" s="2" t="s">
        <v>57</v>
      </c>
      <c r="AC3670" s="2" t="s">
        <v>58</v>
      </c>
      <c r="AF3670" s="2">
        <f t="shared" si="454"/>
        <v>0</v>
      </c>
      <c r="AJ3670" s="2">
        <f t="shared" si="455"/>
        <v>0</v>
      </c>
      <c r="AK3670" s="2">
        <f t="shared" si="451"/>
        <v>50.4</v>
      </c>
      <c r="AL3670" s="5">
        <f t="shared" si="449"/>
        <v>1</v>
      </c>
    </row>
    <row r="3671" spans="1:38" hidden="1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2859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7">(T3671-W3671)/T3671</f>
        <v>1</v>
      </c>
      <c r="Z3671" s="2" t="s">
        <v>3233</v>
      </c>
      <c r="AA3671" s="2" t="s">
        <v>46</v>
      </c>
      <c r="AB3671" s="2" t="s">
        <v>57</v>
      </c>
      <c r="AC3671" s="2" t="s">
        <v>58</v>
      </c>
      <c r="AF3671" s="2">
        <f t="shared" si="454"/>
        <v>0</v>
      </c>
      <c r="AJ3671" s="2">
        <f t="shared" si="455"/>
        <v>0</v>
      </c>
      <c r="AK3671" s="2">
        <f t="shared" si="451"/>
        <v>25.2</v>
      </c>
      <c r="AL3671" s="5">
        <f t="shared" si="449"/>
        <v>1</v>
      </c>
    </row>
    <row r="3672" spans="1:38" hidden="1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2860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7"/>
        <v>1</v>
      </c>
      <c r="Z3672" s="2" t="s">
        <v>3233</v>
      </c>
      <c r="AA3672" s="2" t="s">
        <v>46</v>
      </c>
      <c r="AB3672" s="2" t="s">
        <v>57</v>
      </c>
      <c r="AC3672" s="2" t="s">
        <v>58</v>
      </c>
      <c r="AF3672" s="2">
        <f t="shared" si="454"/>
        <v>0</v>
      </c>
      <c r="AJ3672" s="2">
        <f t="shared" si="455"/>
        <v>0</v>
      </c>
      <c r="AK3672" s="2">
        <f t="shared" si="451"/>
        <v>60</v>
      </c>
      <c r="AL3672" s="5">
        <f t="shared" si="449"/>
        <v>1</v>
      </c>
    </row>
    <row r="3673" spans="1:38" hidden="1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2859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7"/>
        <v>1</v>
      </c>
      <c r="Z3673" s="2" t="s">
        <v>3233</v>
      </c>
      <c r="AA3673" s="2" t="s">
        <v>46</v>
      </c>
      <c r="AB3673" s="2" t="s">
        <v>57</v>
      </c>
      <c r="AC3673" s="2" t="s">
        <v>58</v>
      </c>
      <c r="AF3673" s="2">
        <f t="shared" si="454"/>
        <v>0</v>
      </c>
      <c r="AJ3673" s="2">
        <f t="shared" si="455"/>
        <v>0</v>
      </c>
      <c r="AK3673" s="2">
        <f t="shared" si="451"/>
        <v>30</v>
      </c>
      <c r="AL3673" s="5">
        <f t="shared" si="449"/>
        <v>1</v>
      </c>
    </row>
    <row r="3674" spans="1:38" hidden="1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2860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7"/>
        <v>1</v>
      </c>
      <c r="Z3674" s="2" t="s">
        <v>3233</v>
      </c>
      <c r="AA3674" s="2" t="s">
        <v>46</v>
      </c>
      <c r="AB3674" s="2" t="s">
        <v>57</v>
      </c>
      <c r="AC3674" s="2" t="s">
        <v>58</v>
      </c>
      <c r="AF3674" s="2">
        <f t="shared" si="454"/>
        <v>0</v>
      </c>
      <c r="AJ3674" s="2">
        <f t="shared" si="455"/>
        <v>0</v>
      </c>
      <c r="AK3674" s="2">
        <f t="shared" si="451"/>
        <v>36</v>
      </c>
      <c r="AL3674" s="5">
        <f t="shared" si="449"/>
        <v>1</v>
      </c>
    </row>
    <row r="3675" spans="1:38" hidden="1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2859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7"/>
        <v>1</v>
      </c>
      <c r="Z3675" s="2" t="s">
        <v>3233</v>
      </c>
      <c r="AA3675" s="2" t="s">
        <v>46</v>
      </c>
      <c r="AB3675" s="2" t="s">
        <v>57</v>
      </c>
      <c r="AC3675" s="2" t="s">
        <v>58</v>
      </c>
      <c r="AF3675" s="2">
        <f t="shared" si="454"/>
        <v>0</v>
      </c>
      <c r="AJ3675" s="2">
        <f t="shared" si="455"/>
        <v>0</v>
      </c>
      <c r="AK3675" s="2">
        <f t="shared" si="451"/>
        <v>18</v>
      </c>
      <c r="AL3675" s="5">
        <f t="shared" si="449"/>
        <v>1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8">10.6*S3676</f>
        <v>31.799999999999997</v>
      </c>
      <c r="X3676" s="5">
        <f t="shared" si="457"/>
        <v>0.41111111111111115</v>
      </c>
      <c r="Z3676" s="2" t="s">
        <v>3233</v>
      </c>
      <c r="AA3676" s="2" t="s">
        <v>46</v>
      </c>
      <c r="AB3676" s="2" t="s">
        <v>57</v>
      </c>
      <c r="AC3676" s="2" t="s">
        <v>58</v>
      </c>
      <c r="AF3676" s="2">
        <f t="shared" si="454"/>
        <v>0</v>
      </c>
      <c r="AG3676" s="2">
        <v>10.6</v>
      </c>
      <c r="AH3676" s="2">
        <v>18</v>
      </c>
      <c r="AJ3676" s="2">
        <f t="shared" si="455"/>
        <v>0</v>
      </c>
      <c r="AK3676" s="2">
        <f t="shared" si="451"/>
        <v>22.200000000000003</v>
      </c>
      <c r="AL3676" s="5">
        <f t="shared" si="449"/>
        <v>0.41111111111111115</v>
      </c>
    </row>
    <row r="3677" spans="1:38" hidden="1" x14ac:dyDescent="0.2">
      <c r="A3677" s="2">
        <v>2026</v>
      </c>
      <c r="B3677" s="2">
        <v>4</v>
      </c>
      <c r="D3677" s="2" t="s">
        <v>943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8"/>
        <v>21.2</v>
      </c>
      <c r="X3677" s="5">
        <f t="shared" si="457"/>
        <v>0.41111111111111115</v>
      </c>
      <c r="Z3677" s="2" t="s">
        <v>3233</v>
      </c>
      <c r="AA3677" s="2" t="s">
        <v>46</v>
      </c>
      <c r="AB3677" s="2" t="s">
        <v>57</v>
      </c>
      <c r="AC3677" s="2" t="s">
        <v>58</v>
      </c>
      <c r="AF3677" s="2">
        <f t="shared" si="454"/>
        <v>0</v>
      </c>
      <c r="AG3677" s="2">
        <v>10.6</v>
      </c>
      <c r="AH3677" s="2">
        <v>18</v>
      </c>
      <c r="AJ3677" s="2">
        <f t="shared" si="455"/>
        <v>0</v>
      </c>
      <c r="AK3677" s="2">
        <f t="shared" si="451"/>
        <v>14.8</v>
      </c>
      <c r="AL3677" s="5">
        <f t="shared" si="449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8"/>
        <v>10.6</v>
      </c>
      <c r="X3678" s="5">
        <f t="shared" si="457"/>
        <v>0.41111111111111115</v>
      </c>
      <c r="Z3678" s="2" t="s">
        <v>3233</v>
      </c>
      <c r="AA3678" s="2" t="s">
        <v>46</v>
      </c>
      <c r="AB3678" s="2" t="s">
        <v>57</v>
      </c>
      <c r="AC3678" s="2" t="s">
        <v>58</v>
      </c>
      <c r="AF3678" s="2">
        <f t="shared" si="454"/>
        <v>0</v>
      </c>
      <c r="AG3678" s="2">
        <v>10.6</v>
      </c>
      <c r="AH3678" s="2">
        <v>18</v>
      </c>
      <c r="AJ3678" s="2">
        <f t="shared" si="455"/>
        <v>0</v>
      </c>
      <c r="AK3678" s="2">
        <f t="shared" si="451"/>
        <v>7.4</v>
      </c>
      <c r="AL3678" s="5">
        <f t="shared" si="449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8"/>
        <v>106</v>
      </c>
      <c r="X3679" s="5">
        <f t="shared" si="457"/>
        <v>0.29333333333333333</v>
      </c>
      <c r="Z3679" s="2" t="s">
        <v>3233</v>
      </c>
      <c r="AA3679" s="2" t="s">
        <v>46</v>
      </c>
      <c r="AB3679" s="2" t="s">
        <v>57</v>
      </c>
      <c r="AC3679" s="2" t="s">
        <v>58</v>
      </c>
      <c r="AF3679" s="2">
        <f t="shared" si="454"/>
        <v>0</v>
      </c>
      <c r="AG3679" s="2">
        <v>10.6</v>
      </c>
      <c r="AH3679" s="2">
        <v>18</v>
      </c>
      <c r="AJ3679" s="2">
        <f t="shared" si="455"/>
        <v>0</v>
      </c>
      <c r="AK3679" s="2">
        <f t="shared" si="451"/>
        <v>44</v>
      </c>
      <c r="AL3679" s="5">
        <f t="shared" si="449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8"/>
        <v>106</v>
      </c>
      <c r="X3680" s="5">
        <f t="shared" si="457"/>
        <v>0.29333333333333333</v>
      </c>
      <c r="Z3680" s="2" t="s">
        <v>3233</v>
      </c>
      <c r="AA3680" s="2" t="s">
        <v>46</v>
      </c>
      <c r="AB3680" s="2" t="s">
        <v>57</v>
      </c>
      <c r="AC3680" s="2" t="s">
        <v>58</v>
      </c>
      <c r="AF3680" s="2">
        <f t="shared" si="454"/>
        <v>0</v>
      </c>
      <c r="AG3680" s="2">
        <v>10.6</v>
      </c>
      <c r="AH3680" s="2">
        <v>18</v>
      </c>
      <c r="AJ3680" s="2">
        <f t="shared" si="455"/>
        <v>0</v>
      </c>
      <c r="AK3680" s="2">
        <f t="shared" si="451"/>
        <v>44</v>
      </c>
      <c r="AL3680" s="5">
        <f t="shared" si="449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1315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1316</v>
      </c>
      <c r="L3681" s="2" t="s">
        <v>178</v>
      </c>
      <c r="M3681" s="2" t="s">
        <v>41</v>
      </c>
      <c r="O3681" s="2" t="s">
        <v>2861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8"/>
        <v>10.6</v>
      </c>
      <c r="X3681" s="5">
        <f t="shared" si="457"/>
        <v>0.41111111111111115</v>
      </c>
      <c r="Z3681" s="2" t="s">
        <v>3233</v>
      </c>
      <c r="AA3681" s="2" t="s">
        <v>46</v>
      </c>
      <c r="AB3681" s="2" t="s">
        <v>57</v>
      </c>
      <c r="AC3681" s="2" t="s">
        <v>58</v>
      </c>
      <c r="AF3681" s="2">
        <f t="shared" si="454"/>
        <v>0</v>
      </c>
      <c r="AG3681" s="2">
        <v>10.6</v>
      </c>
      <c r="AH3681" s="2">
        <v>18</v>
      </c>
      <c r="AJ3681" s="2">
        <f t="shared" si="455"/>
        <v>0</v>
      </c>
      <c r="AK3681" s="2">
        <f t="shared" si="451"/>
        <v>7.4</v>
      </c>
      <c r="AL3681" s="5">
        <f t="shared" si="449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2862</v>
      </c>
      <c r="P3682" s="2" t="s">
        <v>43</v>
      </c>
      <c r="Q3682" s="2" t="s">
        <v>2863</v>
      </c>
      <c r="R3682" s="2" t="s">
        <v>2864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7"/>
        <v>1</v>
      </c>
      <c r="Z3682" s="2" t="s">
        <v>3233</v>
      </c>
      <c r="AA3682" s="2" t="s">
        <v>46</v>
      </c>
      <c r="AB3682" s="2" t="s">
        <v>91</v>
      </c>
      <c r="AC3682" s="2" t="s">
        <v>58</v>
      </c>
      <c r="AF3682" s="2">
        <f t="shared" si="454"/>
        <v>0</v>
      </c>
      <c r="AJ3682" s="2">
        <f t="shared" si="455"/>
        <v>0</v>
      </c>
      <c r="AK3682" s="2">
        <f t="shared" si="451"/>
        <v>9.6</v>
      </c>
      <c r="AL3682" s="5">
        <f t="shared" si="449"/>
        <v>1</v>
      </c>
    </row>
    <row r="3683" spans="1:38" hidden="1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2865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7"/>
        <v>0.49808399999999997</v>
      </c>
      <c r="Z3683" s="2" t="s">
        <v>3233</v>
      </c>
      <c r="AA3683" s="2" t="s">
        <v>46</v>
      </c>
      <c r="AB3683" s="2" t="s">
        <v>91</v>
      </c>
      <c r="AC3683" s="2" t="s">
        <v>58</v>
      </c>
      <c r="AF3683" s="2">
        <f t="shared" si="454"/>
        <v>0</v>
      </c>
      <c r="AJ3683" s="2">
        <f t="shared" si="455"/>
        <v>0</v>
      </c>
      <c r="AK3683" s="2">
        <f t="shared" si="451"/>
        <v>49.808399999999999</v>
      </c>
      <c r="AL3683" s="5">
        <f t="shared" si="449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982</v>
      </c>
      <c r="M3684" s="2" t="s">
        <v>41</v>
      </c>
      <c r="O3684" s="2" t="s">
        <v>2866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7"/>
        <v>0.29692307692307701</v>
      </c>
      <c r="Z3684" s="2" t="s">
        <v>3233</v>
      </c>
      <c r="AA3684" s="2" t="s">
        <v>46</v>
      </c>
      <c r="AB3684" s="2" t="s">
        <v>61</v>
      </c>
      <c r="AC3684" s="2" t="s">
        <v>58</v>
      </c>
      <c r="AF3684" s="2">
        <f t="shared" si="454"/>
        <v>0</v>
      </c>
      <c r="AG3684" s="2">
        <v>9.14</v>
      </c>
      <c r="AH3684" s="2">
        <v>16</v>
      </c>
      <c r="AJ3684" s="2">
        <f t="shared" si="455"/>
        <v>0</v>
      </c>
      <c r="AK3684" s="2">
        <f t="shared" si="451"/>
        <v>3.8600000000000012</v>
      </c>
      <c r="AL3684" s="5">
        <f t="shared" si="449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2867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7"/>
        <v>0.29692307692307701</v>
      </c>
      <c r="Z3685" s="2" t="s">
        <v>3233</v>
      </c>
      <c r="AA3685" s="2" t="s">
        <v>46</v>
      </c>
      <c r="AB3685" s="2" t="s">
        <v>61</v>
      </c>
      <c r="AC3685" s="2" t="s">
        <v>58</v>
      </c>
      <c r="AF3685" s="2">
        <f t="shared" si="454"/>
        <v>0</v>
      </c>
      <c r="AG3685" s="2">
        <v>9.14</v>
      </c>
      <c r="AH3685" s="2">
        <v>16</v>
      </c>
      <c r="AJ3685" s="2">
        <f t="shared" si="455"/>
        <v>0</v>
      </c>
      <c r="AK3685" s="2">
        <f t="shared" si="451"/>
        <v>7.7200000000000024</v>
      </c>
      <c r="AL3685" s="5">
        <f t="shared" si="449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9">0.082*S3686</f>
        <v>82</v>
      </c>
      <c r="X3686" s="5">
        <f t="shared" si="457"/>
        <v>0.25454545454545452</v>
      </c>
      <c r="Z3686" s="2" t="s">
        <v>3233</v>
      </c>
      <c r="AA3686" s="2" t="s">
        <v>46</v>
      </c>
      <c r="AB3686" s="2" t="s">
        <v>61</v>
      </c>
      <c r="AC3686" s="2" t="s">
        <v>58</v>
      </c>
      <c r="AF3686" s="2">
        <f t="shared" si="454"/>
        <v>0</v>
      </c>
      <c r="AG3686" s="2">
        <v>8.1999999999999993</v>
      </c>
      <c r="AH3686" s="2">
        <v>13</v>
      </c>
      <c r="AJ3686" s="2">
        <f t="shared" si="455"/>
        <v>0</v>
      </c>
      <c r="AK3686" s="2">
        <f t="shared" si="451"/>
        <v>28</v>
      </c>
      <c r="AL3686" s="5">
        <f t="shared" si="449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2868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9"/>
        <v>82</v>
      </c>
      <c r="X3687" s="5">
        <f t="shared" si="457"/>
        <v>0.25454545454545452</v>
      </c>
      <c r="Z3687" s="2" t="s">
        <v>3233</v>
      </c>
      <c r="AA3687" s="2" t="s">
        <v>46</v>
      </c>
      <c r="AB3687" s="2" t="s">
        <v>61</v>
      </c>
      <c r="AC3687" s="2" t="s">
        <v>58</v>
      </c>
      <c r="AF3687" s="2">
        <f t="shared" si="454"/>
        <v>0</v>
      </c>
      <c r="AG3687" s="2">
        <v>8.1999999999999993</v>
      </c>
      <c r="AH3687" s="2">
        <v>13</v>
      </c>
      <c r="AJ3687" s="2">
        <f t="shared" si="455"/>
        <v>0</v>
      </c>
      <c r="AK3687" s="2">
        <f t="shared" si="451"/>
        <v>28</v>
      </c>
      <c r="AL3687" s="5">
        <f t="shared" si="449"/>
        <v>0.25454545454545452</v>
      </c>
    </row>
    <row r="3688" spans="1:38" hidden="1" x14ac:dyDescent="0.2">
      <c r="A3688" s="2">
        <v>2026</v>
      </c>
      <c r="B3688" s="2">
        <v>4</v>
      </c>
      <c r="C3688" s="2" t="s">
        <v>3452</v>
      </c>
      <c r="D3688" s="2" t="s">
        <v>1893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9"/>
        <v>41</v>
      </c>
      <c r="X3688" s="5">
        <f t="shared" si="457"/>
        <v>0.36923076923076925</v>
      </c>
      <c r="Z3688" s="2" t="s">
        <v>3233</v>
      </c>
      <c r="AA3688" s="2" t="s">
        <v>46</v>
      </c>
      <c r="AB3688" s="2" t="s">
        <v>61</v>
      </c>
      <c r="AC3688" s="2" t="s">
        <v>58</v>
      </c>
      <c r="AF3688" s="2">
        <f t="shared" si="454"/>
        <v>0</v>
      </c>
      <c r="AG3688" s="2">
        <v>8.1999999999999993</v>
      </c>
      <c r="AH3688" s="2">
        <v>13</v>
      </c>
      <c r="AJ3688" s="2">
        <f t="shared" si="455"/>
        <v>0</v>
      </c>
      <c r="AK3688" s="2">
        <f t="shared" si="451"/>
        <v>24</v>
      </c>
      <c r="AL3688" s="5">
        <f t="shared" si="449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9"/>
        <v>32.800000000000004</v>
      </c>
      <c r="X3689" s="5">
        <f t="shared" si="457"/>
        <v>0.36923076923076914</v>
      </c>
      <c r="Z3689" s="2" t="s">
        <v>3233</v>
      </c>
      <c r="AA3689" s="2" t="s">
        <v>46</v>
      </c>
      <c r="AB3689" s="2" t="s">
        <v>61</v>
      </c>
      <c r="AC3689" s="2" t="s">
        <v>58</v>
      </c>
      <c r="AF3689" s="2">
        <f t="shared" si="454"/>
        <v>0</v>
      </c>
      <c r="AG3689" s="2">
        <v>8.1999999999999993</v>
      </c>
      <c r="AH3689" s="2">
        <v>13</v>
      </c>
      <c r="AJ3689" s="2">
        <f t="shared" si="455"/>
        <v>0</v>
      </c>
      <c r="AK3689" s="2">
        <f t="shared" si="451"/>
        <v>19.199999999999996</v>
      </c>
      <c r="AL3689" s="5">
        <f t="shared" si="449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9"/>
        <v>82</v>
      </c>
      <c r="X3690" s="5">
        <f t="shared" si="457"/>
        <v>0.25454545454545452</v>
      </c>
      <c r="Z3690" s="2" t="s">
        <v>3233</v>
      </c>
      <c r="AA3690" s="2" t="s">
        <v>46</v>
      </c>
      <c r="AB3690" s="2" t="s">
        <v>61</v>
      </c>
      <c r="AC3690" s="2" t="s">
        <v>58</v>
      </c>
      <c r="AF3690" s="2">
        <f t="shared" si="454"/>
        <v>0</v>
      </c>
      <c r="AG3690" s="2">
        <v>8.1999999999999993</v>
      </c>
      <c r="AH3690" s="2">
        <v>13</v>
      </c>
      <c r="AJ3690" s="2">
        <f t="shared" si="455"/>
        <v>0</v>
      </c>
      <c r="AK3690" s="2">
        <f t="shared" si="451"/>
        <v>28</v>
      </c>
      <c r="AL3690" s="5">
        <f t="shared" si="449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9"/>
        <v>82</v>
      </c>
      <c r="X3691" s="5">
        <f t="shared" si="457"/>
        <v>0.25454545454545452</v>
      </c>
      <c r="Z3691" s="2" t="s">
        <v>3233</v>
      </c>
      <c r="AA3691" s="2" t="s">
        <v>46</v>
      </c>
      <c r="AB3691" s="2" t="s">
        <v>61</v>
      </c>
      <c r="AC3691" s="2" t="s">
        <v>58</v>
      </c>
      <c r="AF3691" s="2">
        <f t="shared" si="454"/>
        <v>0</v>
      </c>
      <c r="AG3691" s="2">
        <v>8.1999999999999993</v>
      </c>
      <c r="AH3691" s="2">
        <v>13</v>
      </c>
      <c r="AJ3691" s="2">
        <f t="shared" si="455"/>
        <v>0</v>
      </c>
      <c r="AK3691" s="2">
        <f t="shared" si="451"/>
        <v>28</v>
      </c>
      <c r="AL3691" s="5">
        <f t="shared" si="449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1315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1316</v>
      </c>
      <c r="L3692" s="2" t="s">
        <v>178</v>
      </c>
      <c r="M3692" s="2" t="s">
        <v>41</v>
      </c>
      <c r="O3692" s="2" t="s">
        <v>2861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9"/>
        <v>16.400000000000002</v>
      </c>
      <c r="X3692" s="5">
        <f t="shared" si="457"/>
        <v>0.36923076923076914</v>
      </c>
      <c r="Z3692" s="2" t="s">
        <v>3233</v>
      </c>
      <c r="AA3692" s="2" t="s">
        <v>46</v>
      </c>
      <c r="AB3692" s="2" t="s">
        <v>61</v>
      </c>
      <c r="AC3692" s="2" t="s">
        <v>58</v>
      </c>
      <c r="AF3692" s="2">
        <f t="shared" si="454"/>
        <v>0</v>
      </c>
      <c r="AG3692" s="2">
        <v>8.1999999999999993</v>
      </c>
      <c r="AH3692" s="2">
        <v>13</v>
      </c>
      <c r="AJ3692" s="2">
        <f t="shared" si="455"/>
        <v>0</v>
      </c>
      <c r="AK3692" s="2">
        <f t="shared" si="451"/>
        <v>9.5999999999999979</v>
      </c>
      <c r="AL3692" s="5">
        <f t="shared" si="449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2855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60">0.0914*S3693</f>
        <v>45.699999999999996</v>
      </c>
      <c r="X3693" s="5">
        <f t="shared" si="457"/>
        <v>0.3471428571428572</v>
      </c>
      <c r="Z3693" s="2" t="s">
        <v>3233</v>
      </c>
      <c r="AA3693" s="2" t="s">
        <v>46</v>
      </c>
      <c r="AB3693" s="2" t="s">
        <v>61</v>
      </c>
      <c r="AC3693" s="2" t="s">
        <v>58</v>
      </c>
      <c r="AF3693" s="2">
        <f t="shared" si="454"/>
        <v>0</v>
      </c>
      <c r="AJ3693" s="2">
        <f t="shared" si="455"/>
        <v>0</v>
      </c>
      <c r="AK3693" s="2">
        <f t="shared" si="451"/>
        <v>24.300000000000004</v>
      </c>
      <c r="AL3693" s="5">
        <f t="shared" si="449"/>
        <v>0.3471428571428572</v>
      </c>
    </row>
    <row r="3694" spans="1:38" hidden="1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1559</v>
      </c>
      <c r="J3694" s="2" t="s">
        <v>2531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60"/>
        <v>9.1399999999999988</v>
      </c>
      <c r="X3694" s="5">
        <f t="shared" si="457"/>
        <v>0.34714285714285725</v>
      </c>
      <c r="Z3694" s="2" t="s">
        <v>3233</v>
      </c>
      <c r="AA3694" s="2" t="s">
        <v>46</v>
      </c>
      <c r="AB3694" s="2" t="s">
        <v>61</v>
      </c>
      <c r="AC3694" s="2" t="s">
        <v>58</v>
      </c>
      <c r="AF3694" s="2">
        <f t="shared" si="454"/>
        <v>0</v>
      </c>
      <c r="AJ3694" s="2">
        <f t="shared" si="455"/>
        <v>0</v>
      </c>
      <c r="AK3694" s="2">
        <f t="shared" si="451"/>
        <v>4.8600000000000012</v>
      </c>
      <c r="AL3694" s="5">
        <f t="shared" si="449"/>
        <v>0.34714285714285725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7"/>
        <v>1</v>
      </c>
      <c r="Z3695" s="2" t="s">
        <v>3233</v>
      </c>
      <c r="AA3695" s="2" t="s">
        <v>46</v>
      </c>
      <c r="AB3695" s="2" t="s">
        <v>91</v>
      </c>
      <c r="AC3695" s="2" t="s">
        <v>58</v>
      </c>
      <c r="AF3695" s="2">
        <f t="shared" si="454"/>
        <v>0</v>
      </c>
      <c r="AJ3695" s="2">
        <f t="shared" si="455"/>
        <v>0</v>
      </c>
      <c r="AK3695" s="2">
        <f t="shared" si="451"/>
        <v>18</v>
      </c>
      <c r="AL3695" s="5">
        <f t="shared" si="449"/>
        <v>1</v>
      </c>
    </row>
    <row r="3696" spans="1:38" hidden="1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2855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7"/>
        <v>1</v>
      </c>
      <c r="Z3696" s="2" t="s">
        <v>3233</v>
      </c>
      <c r="AA3696" s="2" t="s">
        <v>46</v>
      </c>
      <c r="AB3696" s="2" t="s">
        <v>47</v>
      </c>
      <c r="AC3696" s="2" t="s">
        <v>48</v>
      </c>
      <c r="AF3696" s="2">
        <f t="shared" si="454"/>
        <v>0</v>
      </c>
      <c r="AJ3696" s="2">
        <f t="shared" si="455"/>
        <v>0</v>
      </c>
      <c r="AK3696" s="2">
        <f t="shared" si="451"/>
        <v>42</v>
      </c>
      <c r="AL3696" s="5">
        <f t="shared" si="449"/>
        <v>1</v>
      </c>
    </row>
    <row r="3697" spans="1:38" hidden="1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2855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7"/>
        <v>0.54166666666666663</v>
      </c>
      <c r="Z3697" s="2" t="s">
        <v>3233</v>
      </c>
      <c r="AA3697" s="2" t="s">
        <v>46</v>
      </c>
      <c r="AB3697" s="2" t="s">
        <v>47</v>
      </c>
      <c r="AC3697" s="2" t="s">
        <v>48</v>
      </c>
      <c r="AF3697" s="2">
        <f t="shared" si="454"/>
        <v>0</v>
      </c>
      <c r="AJ3697" s="2">
        <f t="shared" si="455"/>
        <v>0</v>
      </c>
      <c r="AK3697" s="2">
        <f t="shared" si="451"/>
        <v>26</v>
      </c>
      <c r="AL3697" s="5">
        <f t="shared" si="449"/>
        <v>0.54166666666666663</v>
      </c>
    </row>
    <row r="3698" spans="1:38" hidden="1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1559</v>
      </c>
      <c r="J3698" s="2" t="s">
        <v>2531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7"/>
        <v>0.62926666666666664</v>
      </c>
      <c r="Z3698" s="2" t="s">
        <v>3233</v>
      </c>
      <c r="AA3698" s="2" t="s">
        <v>46</v>
      </c>
      <c r="AB3698" s="2" t="s">
        <v>61</v>
      </c>
      <c r="AC3698" s="2" t="s">
        <v>58</v>
      </c>
      <c r="AF3698" s="2">
        <f t="shared" si="454"/>
        <v>0</v>
      </c>
      <c r="AG3698" s="2">
        <v>1.1122000000000001</v>
      </c>
      <c r="AH3698" s="2">
        <v>3</v>
      </c>
      <c r="AJ3698" s="2">
        <f t="shared" si="455"/>
        <v>0</v>
      </c>
      <c r="AK3698" s="2">
        <f t="shared" si="451"/>
        <v>15.102399999999999</v>
      </c>
      <c r="AL3698" s="5">
        <f t="shared" si="449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7"/>
        <v>0.5295333333333333</v>
      </c>
      <c r="Z3699" s="2" t="s">
        <v>3233</v>
      </c>
      <c r="AA3699" s="2" t="s">
        <v>46</v>
      </c>
      <c r="AB3699" s="2" t="s">
        <v>61</v>
      </c>
      <c r="AC3699" s="2" t="s">
        <v>58</v>
      </c>
      <c r="AF3699" s="2">
        <f t="shared" si="454"/>
        <v>0</v>
      </c>
      <c r="AG3699" s="2">
        <v>1.4114</v>
      </c>
      <c r="AH3699" s="2">
        <v>3</v>
      </c>
      <c r="AJ3699" s="2">
        <f t="shared" si="455"/>
        <v>0</v>
      </c>
      <c r="AK3699" s="2">
        <f t="shared" si="451"/>
        <v>63.543999999999997</v>
      </c>
      <c r="AL3699" s="5">
        <f t="shared" si="449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2527</v>
      </c>
      <c r="P3700" s="2" t="s">
        <v>43</v>
      </c>
      <c r="Q3700" s="2" t="s">
        <v>2384</v>
      </c>
      <c r="R3700" s="2" t="s">
        <v>2385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3233</v>
      </c>
      <c r="AA3700" s="2" t="s">
        <v>46</v>
      </c>
      <c r="AB3700" s="2" t="s">
        <v>91</v>
      </c>
      <c r="AC3700" s="2" t="s">
        <v>58</v>
      </c>
      <c r="AF3700" s="2">
        <f t="shared" si="454"/>
        <v>0</v>
      </c>
      <c r="AJ3700" s="2">
        <f t="shared" si="455"/>
        <v>0</v>
      </c>
      <c r="AK3700" s="2">
        <f>T3700+(W3700)</f>
        <v>-60</v>
      </c>
      <c r="AL3700" s="18">
        <f>SIGN(T3700)*((ABS(T3700)-W3700)/ABS(T3700))</f>
        <v>-1</v>
      </c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2869</v>
      </c>
      <c r="P3701" s="2" t="s">
        <v>43</v>
      </c>
      <c r="Q3701" s="2" t="s">
        <v>2870</v>
      </c>
      <c r="R3701" s="2" t="s">
        <v>2871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1">(T3701-W3701)/T3701</f>
        <v>0.25811111111111118</v>
      </c>
      <c r="Z3701" s="2" t="s">
        <v>3233</v>
      </c>
      <c r="AA3701" s="2" t="s">
        <v>46</v>
      </c>
      <c r="AB3701" s="2" t="s">
        <v>68</v>
      </c>
      <c r="AC3701" s="2" t="s">
        <v>58</v>
      </c>
      <c r="AF3701" s="2">
        <f t="shared" si="454"/>
        <v>0</v>
      </c>
      <c r="AG3701" s="2">
        <v>16.692499999999999</v>
      </c>
      <c r="AH3701" s="2">
        <v>27.6</v>
      </c>
      <c r="AJ3701" s="2">
        <f t="shared" si="455"/>
        <v>0</v>
      </c>
      <c r="AK3701" s="2">
        <f t="shared" si="451"/>
        <v>11.615000000000002</v>
      </c>
      <c r="AL3701" s="5">
        <f t="shared" ref="AL3701:AL3732" si="462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2855</v>
      </c>
      <c r="P3702" s="2" t="s">
        <v>43</v>
      </c>
      <c r="Q3702" s="2" t="s">
        <v>2870</v>
      </c>
      <c r="R3702" s="2" t="s">
        <v>2871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1"/>
        <v>0.27423913043478265</v>
      </c>
      <c r="Z3702" s="2" t="s">
        <v>3233</v>
      </c>
      <c r="AA3702" s="2" t="s">
        <v>46</v>
      </c>
      <c r="AB3702" s="2" t="s">
        <v>68</v>
      </c>
      <c r="AC3702" s="2" t="s">
        <v>58</v>
      </c>
      <c r="AF3702" s="2">
        <f t="shared" si="454"/>
        <v>0</v>
      </c>
      <c r="AG3702" s="2">
        <v>16.692499999999999</v>
      </c>
      <c r="AH3702" s="2">
        <v>27.6</v>
      </c>
      <c r="AJ3702" s="2">
        <f t="shared" si="455"/>
        <v>0</v>
      </c>
      <c r="AK3702" s="2">
        <f t="shared" ref="AK3702:AK3765" si="463">T3702-W3702</f>
        <v>6.307500000000001</v>
      </c>
      <c r="AL3702" s="5">
        <f t="shared" si="462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2872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1"/>
        <v>1</v>
      </c>
      <c r="Z3703" s="2" t="s">
        <v>3233</v>
      </c>
      <c r="AA3703" s="2" t="s">
        <v>46</v>
      </c>
      <c r="AB3703" s="2" t="s">
        <v>61</v>
      </c>
      <c r="AC3703" s="2" t="s">
        <v>58</v>
      </c>
      <c r="AF3703" s="2">
        <f t="shared" si="454"/>
        <v>0</v>
      </c>
      <c r="AJ3703" s="2">
        <f t="shared" si="455"/>
        <v>0</v>
      </c>
      <c r="AK3703" s="2">
        <f t="shared" si="463"/>
        <v>552</v>
      </c>
      <c r="AL3703" s="5">
        <f t="shared" si="462"/>
        <v>1</v>
      </c>
    </row>
    <row r="3704" spans="1:38" hidden="1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2872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1"/>
        <v>1</v>
      </c>
      <c r="Z3704" s="2" t="s">
        <v>3233</v>
      </c>
      <c r="AA3704" s="2" t="s">
        <v>46</v>
      </c>
      <c r="AB3704" s="2" t="s">
        <v>61</v>
      </c>
      <c r="AC3704" s="2" t="s">
        <v>58</v>
      </c>
      <c r="AF3704" s="2">
        <f t="shared" si="454"/>
        <v>0</v>
      </c>
      <c r="AJ3704" s="2">
        <f t="shared" si="455"/>
        <v>0</v>
      </c>
      <c r="AK3704" s="2">
        <f t="shared" si="463"/>
        <v>552</v>
      </c>
      <c r="AL3704" s="5">
        <f t="shared" si="462"/>
        <v>1</v>
      </c>
    </row>
    <row r="3705" spans="1:38" hidden="1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1"/>
        <v>0.46722222222222226</v>
      </c>
      <c r="Z3705" s="2" t="s">
        <v>3233</v>
      </c>
      <c r="AA3705" s="2" t="s">
        <v>46</v>
      </c>
      <c r="AB3705" s="2" t="s">
        <v>61</v>
      </c>
      <c r="AC3705" s="2" t="s">
        <v>58</v>
      </c>
      <c r="AF3705" s="2">
        <f t="shared" si="454"/>
        <v>0</v>
      </c>
      <c r="AJ3705" s="2">
        <f t="shared" si="455"/>
        <v>0</v>
      </c>
      <c r="AK3705" s="2">
        <f t="shared" si="463"/>
        <v>6.7280000000000006</v>
      </c>
      <c r="AL3705" s="5">
        <f t="shared" si="462"/>
        <v>0.46722222222222226</v>
      </c>
    </row>
    <row r="3706" spans="1:38" hidden="1" x14ac:dyDescent="0.2">
      <c r="A3706" s="2">
        <v>2026</v>
      </c>
      <c r="B3706" s="2">
        <v>4</v>
      </c>
      <c r="C3706" s="2" t="s">
        <v>3452</v>
      </c>
      <c r="D3706" s="2" t="s">
        <v>1893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1"/>
        <v>0.46925333333333336</v>
      </c>
      <c r="Z3706" s="2" t="s">
        <v>3233</v>
      </c>
      <c r="AA3706" s="2" t="s">
        <v>46</v>
      </c>
      <c r="AB3706" s="2" t="s">
        <v>68</v>
      </c>
      <c r="AC3706" s="2" t="s">
        <v>58</v>
      </c>
      <c r="AF3706" s="2">
        <f t="shared" si="454"/>
        <v>0</v>
      </c>
      <c r="AG3706" s="2">
        <v>7.9611999999999998</v>
      </c>
      <c r="AH3706" s="2">
        <v>14.4</v>
      </c>
      <c r="AJ3706" s="2">
        <f t="shared" si="455"/>
        <v>0</v>
      </c>
      <c r="AK3706" s="2">
        <f t="shared" si="463"/>
        <v>28.155200000000001</v>
      </c>
      <c r="AL3706" s="5">
        <f t="shared" si="462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4">15.0203*S3707</f>
        <v>15.020300000000001</v>
      </c>
      <c r="X3707" s="5">
        <f t="shared" si="461"/>
        <v>0.45578623188405798</v>
      </c>
      <c r="Z3707" s="2" t="s">
        <v>3233</v>
      </c>
      <c r="AA3707" s="2" t="s">
        <v>46</v>
      </c>
      <c r="AB3707" s="2" t="s">
        <v>68</v>
      </c>
      <c r="AC3707" s="2" t="s">
        <v>58</v>
      </c>
      <c r="AF3707" s="2">
        <f t="shared" si="454"/>
        <v>0</v>
      </c>
      <c r="AG3707" s="2">
        <v>15.020300000000001</v>
      </c>
      <c r="AH3707" s="2">
        <v>27.6</v>
      </c>
      <c r="AJ3707" s="2">
        <f t="shared" si="455"/>
        <v>0</v>
      </c>
      <c r="AK3707" s="2">
        <f t="shared" si="463"/>
        <v>12.579700000000001</v>
      </c>
      <c r="AL3707" s="5">
        <f t="shared" si="462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4"/>
        <v>45.060900000000004</v>
      </c>
      <c r="X3708" s="5">
        <f t="shared" si="461"/>
        <v>0.37415416666666662</v>
      </c>
      <c r="Z3708" s="2" t="s">
        <v>3233</v>
      </c>
      <c r="AA3708" s="2" t="s">
        <v>46</v>
      </c>
      <c r="AB3708" s="2" t="s">
        <v>68</v>
      </c>
      <c r="AC3708" s="2" t="s">
        <v>58</v>
      </c>
      <c r="AF3708" s="2">
        <f t="shared" si="454"/>
        <v>0</v>
      </c>
      <c r="AG3708" s="2">
        <v>15.020300000000001</v>
      </c>
      <c r="AH3708" s="2">
        <v>27.6</v>
      </c>
      <c r="AJ3708" s="2">
        <f t="shared" si="455"/>
        <v>0</v>
      </c>
      <c r="AK3708" s="2">
        <f t="shared" si="463"/>
        <v>26.939099999999996</v>
      </c>
      <c r="AL3708" s="5">
        <f t="shared" si="462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4"/>
        <v>15.020300000000001</v>
      </c>
      <c r="X3709" s="5">
        <f t="shared" si="461"/>
        <v>0.45578623188405798</v>
      </c>
      <c r="Z3709" s="2" t="s">
        <v>3233</v>
      </c>
      <c r="AA3709" s="2" t="s">
        <v>46</v>
      </c>
      <c r="AB3709" s="2" t="s">
        <v>68</v>
      </c>
      <c r="AC3709" s="2" t="s">
        <v>58</v>
      </c>
      <c r="AF3709" s="2">
        <f t="shared" si="454"/>
        <v>0</v>
      </c>
      <c r="AG3709" s="2">
        <v>15.020300000000001</v>
      </c>
      <c r="AH3709" s="2">
        <v>27.6</v>
      </c>
      <c r="AJ3709" s="2">
        <f t="shared" si="455"/>
        <v>0</v>
      </c>
      <c r="AK3709" s="2">
        <f t="shared" si="463"/>
        <v>12.579700000000001</v>
      </c>
      <c r="AL3709" s="5">
        <f t="shared" si="462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1067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4"/>
        <v>150.203</v>
      </c>
      <c r="X3710" s="5">
        <f t="shared" si="461"/>
        <v>0.30138139534883718</v>
      </c>
      <c r="Z3710" s="2" t="s">
        <v>3233</v>
      </c>
      <c r="AA3710" s="2" t="s">
        <v>46</v>
      </c>
      <c r="AB3710" s="2" t="s">
        <v>68</v>
      </c>
      <c r="AC3710" s="2" t="s">
        <v>58</v>
      </c>
      <c r="AF3710" s="2">
        <f t="shared" si="454"/>
        <v>0</v>
      </c>
      <c r="AG3710" s="2">
        <v>15.020300000000001</v>
      </c>
      <c r="AH3710" s="2">
        <v>27.6</v>
      </c>
      <c r="AJ3710" s="2">
        <f t="shared" si="455"/>
        <v>0</v>
      </c>
      <c r="AK3710" s="2">
        <f t="shared" si="463"/>
        <v>64.796999999999997</v>
      </c>
      <c r="AL3710" s="5">
        <f t="shared" si="462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2873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4"/>
        <v>15.020300000000001</v>
      </c>
      <c r="X3711" s="5">
        <f t="shared" si="461"/>
        <v>0.45578623188405798</v>
      </c>
      <c r="Z3711" s="2" t="s">
        <v>3233</v>
      </c>
      <c r="AA3711" s="2" t="s">
        <v>46</v>
      </c>
      <c r="AB3711" s="2" t="s">
        <v>68</v>
      </c>
      <c r="AC3711" s="2" t="s">
        <v>58</v>
      </c>
      <c r="AF3711" s="2">
        <f t="shared" si="454"/>
        <v>0</v>
      </c>
      <c r="AG3711" s="2">
        <v>15.020300000000001</v>
      </c>
      <c r="AH3711" s="2">
        <v>27.6</v>
      </c>
      <c r="AJ3711" s="2">
        <f t="shared" si="455"/>
        <v>0</v>
      </c>
      <c r="AK3711" s="2">
        <f t="shared" si="463"/>
        <v>12.579700000000001</v>
      </c>
      <c r="AL3711" s="5">
        <f t="shared" si="462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4"/>
        <v>600.81200000000001</v>
      </c>
      <c r="X3712" s="5">
        <f t="shared" si="461"/>
        <v>0.28474761904761903</v>
      </c>
      <c r="Z3712" s="2" t="s">
        <v>3233</v>
      </c>
      <c r="AA3712" s="2" t="s">
        <v>46</v>
      </c>
      <c r="AB3712" s="2" t="s">
        <v>68</v>
      </c>
      <c r="AC3712" s="2" t="s">
        <v>58</v>
      </c>
      <c r="AF3712" s="2">
        <f t="shared" si="454"/>
        <v>0</v>
      </c>
      <c r="AG3712" s="2">
        <v>15.020300000000001</v>
      </c>
      <c r="AH3712" s="2">
        <v>27.6</v>
      </c>
      <c r="AJ3712" s="2">
        <f t="shared" si="455"/>
        <v>0</v>
      </c>
      <c r="AK3712" s="2">
        <f t="shared" si="463"/>
        <v>239.18799999999999</v>
      </c>
      <c r="AL3712" s="5">
        <f t="shared" si="462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1"/>
        <v>0.40610714285714283</v>
      </c>
      <c r="Z3713" s="2" t="s">
        <v>3233</v>
      </c>
      <c r="AA3713" s="2" t="s">
        <v>46</v>
      </c>
      <c r="AB3713" s="2" t="s">
        <v>68</v>
      </c>
      <c r="AC3713" s="2" t="s">
        <v>58</v>
      </c>
      <c r="AF3713" s="2">
        <f t="shared" si="454"/>
        <v>0</v>
      </c>
      <c r="AG3713" s="2">
        <v>8.3145000000000007</v>
      </c>
      <c r="AH3713" s="2">
        <v>15</v>
      </c>
      <c r="AJ3713" s="2">
        <f t="shared" si="455"/>
        <v>0</v>
      </c>
      <c r="AK3713" s="2">
        <f t="shared" si="463"/>
        <v>11.370999999999999</v>
      </c>
      <c r="AL3713" s="5">
        <f t="shared" si="462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2522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2523</v>
      </c>
      <c r="J3714" s="2" t="s">
        <v>2524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1"/>
        <v>0.44569999999999993</v>
      </c>
      <c r="Z3714" s="2" t="s">
        <v>3233</v>
      </c>
      <c r="AA3714" s="2" t="s">
        <v>46</v>
      </c>
      <c r="AB3714" s="2" t="s">
        <v>68</v>
      </c>
      <c r="AC3714" s="2" t="s">
        <v>58</v>
      </c>
      <c r="AF3714" s="2">
        <f t="shared" si="454"/>
        <v>0</v>
      </c>
      <c r="AG3714" s="2">
        <v>8.3145000000000007</v>
      </c>
      <c r="AH3714" s="2">
        <v>15</v>
      </c>
      <c r="AJ3714" s="2">
        <f t="shared" si="455"/>
        <v>0</v>
      </c>
      <c r="AK3714" s="2">
        <f t="shared" si="463"/>
        <v>6.6854999999999993</v>
      </c>
      <c r="AL3714" s="5">
        <f t="shared" si="462"/>
        <v>0.44569999999999993</v>
      </c>
    </row>
    <row r="3715" spans="1:38" hidden="1" x14ac:dyDescent="0.2">
      <c r="A3715" s="2">
        <v>2026</v>
      </c>
      <c r="B3715" s="2">
        <v>4</v>
      </c>
      <c r="C3715" s="2" t="s">
        <v>3452</v>
      </c>
      <c r="D3715" s="2" t="s">
        <v>1893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2874</v>
      </c>
      <c r="P3715" s="2" t="s">
        <v>43</v>
      </c>
      <c r="Q3715" s="2" t="s">
        <v>2875</v>
      </c>
      <c r="R3715" s="2" t="s">
        <v>2876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1"/>
        <v>0.40366666666666667</v>
      </c>
      <c r="Z3715" s="2" t="s">
        <v>3233</v>
      </c>
      <c r="AA3715" s="2" t="s">
        <v>46</v>
      </c>
      <c r="AB3715" s="2" t="s">
        <v>91</v>
      </c>
      <c r="AC3715" s="2" t="s">
        <v>58</v>
      </c>
      <c r="AF3715" s="2">
        <f t="shared" ref="AF3715:AF3778" si="465">AJ3715</f>
        <v>0</v>
      </c>
      <c r="AG3715" s="2">
        <v>35.78</v>
      </c>
      <c r="AH3715" s="2">
        <v>63.6</v>
      </c>
      <c r="AJ3715" s="2">
        <f t="shared" ref="AJ3715:AJ3778" si="466">AI3715*T3715</f>
        <v>0</v>
      </c>
      <c r="AK3715" s="2">
        <f t="shared" si="463"/>
        <v>24.22</v>
      </c>
      <c r="AL3715" s="5">
        <f t="shared" si="462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3326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3237</v>
      </c>
      <c r="Q3716" s="2" t="s">
        <v>2877</v>
      </c>
      <c r="R3716" s="2" t="s">
        <v>2878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1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3237</v>
      </c>
      <c r="AF3716" s="2">
        <f t="shared" si="465"/>
        <v>0</v>
      </c>
      <c r="AJ3716" s="2">
        <f t="shared" si="466"/>
        <v>0</v>
      </c>
      <c r="AK3716" s="2">
        <f t="shared" si="463"/>
        <v>7073.38</v>
      </c>
      <c r="AL3716" s="5">
        <f t="shared" si="462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2879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3233</v>
      </c>
      <c r="AA3717" s="2" t="s">
        <v>76</v>
      </c>
      <c r="AB3717" s="2" t="s">
        <v>77</v>
      </c>
      <c r="AC3717" s="2" t="s">
        <v>40</v>
      </c>
      <c r="AF3717" s="2">
        <f t="shared" si="465"/>
        <v>0</v>
      </c>
      <c r="AJ3717" s="2">
        <f t="shared" si="466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1993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1"/>
        <v>0.42947272727272723</v>
      </c>
      <c r="Z3718" s="2" t="s">
        <v>3233</v>
      </c>
      <c r="AA3718" s="2" t="s">
        <v>76</v>
      </c>
      <c r="AB3718" s="2" t="s">
        <v>77</v>
      </c>
      <c r="AC3718" s="2" t="s">
        <v>78</v>
      </c>
      <c r="AF3718" s="2">
        <f t="shared" si="465"/>
        <v>0</v>
      </c>
      <c r="AG3718" s="2">
        <v>125.51600000000001</v>
      </c>
      <c r="AH3718" s="2">
        <v>220</v>
      </c>
      <c r="AJ3718" s="2">
        <f t="shared" si="466"/>
        <v>0</v>
      </c>
      <c r="AK3718" s="2">
        <f t="shared" si="463"/>
        <v>94.483999999999995</v>
      </c>
      <c r="AL3718" s="5">
        <f t="shared" si="462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1"/>
        <v>0.42947272727272723</v>
      </c>
      <c r="Z3719" s="2" t="s">
        <v>3233</v>
      </c>
      <c r="AA3719" s="2" t="s">
        <v>76</v>
      </c>
      <c r="AB3719" s="2" t="s">
        <v>77</v>
      </c>
      <c r="AC3719" s="2" t="s">
        <v>78</v>
      </c>
      <c r="AF3719" s="2">
        <f t="shared" si="465"/>
        <v>0</v>
      </c>
      <c r="AG3719" s="2">
        <v>125.51600000000001</v>
      </c>
      <c r="AH3719" s="2">
        <v>220</v>
      </c>
      <c r="AJ3719" s="2">
        <f t="shared" si="466"/>
        <v>0</v>
      </c>
      <c r="AK3719" s="2">
        <f t="shared" si="463"/>
        <v>94.483999999999995</v>
      </c>
      <c r="AL3719" s="5">
        <f t="shared" si="462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1"/>
        <v>0.42947272727272723</v>
      </c>
      <c r="Z3720" s="2" t="s">
        <v>3233</v>
      </c>
      <c r="AA3720" s="2" t="s">
        <v>76</v>
      </c>
      <c r="AB3720" s="2" t="s">
        <v>77</v>
      </c>
      <c r="AC3720" s="2" t="s">
        <v>78</v>
      </c>
      <c r="AF3720" s="2">
        <f t="shared" si="465"/>
        <v>0</v>
      </c>
      <c r="AG3720" s="2">
        <v>125.51600000000001</v>
      </c>
      <c r="AH3720" s="2">
        <v>220</v>
      </c>
      <c r="AJ3720" s="2">
        <f t="shared" si="466"/>
        <v>0</v>
      </c>
      <c r="AK3720" s="2">
        <f t="shared" si="463"/>
        <v>94.483999999999995</v>
      </c>
      <c r="AL3720" s="5">
        <f t="shared" si="462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1259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1"/>
        <v>0.42947272727272723</v>
      </c>
      <c r="Z3721" s="2" t="s">
        <v>3233</v>
      </c>
      <c r="AA3721" s="2" t="s">
        <v>76</v>
      </c>
      <c r="AB3721" s="2" t="s">
        <v>77</v>
      </c>
      <c r="AC3721" s="2" t="s">
        <v>78</v>
      </c>
      <c r="AF3721" s="2">
        <f t="shared" si="465"/>
        <v>0</v>
      </c>
      <c r="AG3721" s="2">
        <v>125.51600000000001</v>
      </c>
      <c r="AH3721" s="2">
        <v>220</v>
      </c>
      <c r="AJ3721" s="2">
        <f t="shared" si="466"/>
        <v>0</v>
      </c>
      <c r="AK3721" s="2">
        <f t="shared" si="463"/>
        <v>94.483999999999995</v>
      </c>
      <c r="AL3721" s="5">
        <f t="shared" si="462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2880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1"/>
        <v>0.42947272727272723</v>
      </c>
      <c r="Z3722" s="2" t="s">
        <v>3233</v>
      </c>
      <c r="AA3722" s="2" t="s">
        <v>76</v>
      </c>
      <c r="AB3722" s="2" t="s">
        <v>77</v>
      </c>
      <c r="AC3722" s="2" t="s">
        <v>78</v>
      </c>
      <c r="AF3722" s="2">
        <f t="shared" si="465"/>
        <v>0</v>
      </c>
      <c r="AG3722" s="2">
        <v>125.51600000000001</v>
      </c>
      <c r="AH3722" s="2">
        <v>220</v>
      </c>
      <c r="AJ3722" s="2">
        <f t="shared" si="466"/>
        <v>0</v>
      </c>
      <c r="AK3722" s="2">
        <f t="shared" si="463"/>
        <v>188.96799999999999</v>
      </c>
      <c r="AL3722" s="5">
        <f t="shared" si="462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1"/>
        <v>0.42947272727272723</v>
      </c>
      <c r="Z3723" s="2" t="s">
        <v>3233</v>
      </c>
      <c r="AA3723" s="2" t="s">
        <v>76</v>
      </c>
      <c r="AB3723" s="2" t="s">
        <v>77</v>
      </c>
      <c r="AC3723" s="2" t="s">
        <v>78</v>
      </c>
      <c r="AF3723" s="2">
        <f t="shared" si="465"/>
        <v>0</v>
      </c>
      <c r="AG3723" s="2">
        <v>125.51600000000001</v>
      </c>
      <c r="AH3723" s="2">
        <v>220</v>
      </c>
      <c r="AJ3723" s="2">
        <f t="shared" si="466"/>
        <v>0</v>
      </c>
      <c r="AK3723" s="2">
        <f t="shared" si="463"/>
        <v>94.483999999999995</v>
      </c>
      <c r="AL3723" s="5">
        <f t="shared" si="462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1298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1299</v>
      </c>
      <c r="L3724" s="2" t="s">
        <v>340</v>
      </c>
      <c r="M3724" s="2" t="s">
        <v>81</v>
      </c>
      <c r="O3724" s="2" t="s">
        <v>2881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1"/>
        <v>0.41182755388940956</v>
      </c>
      <c r="Z3724" s="2" t="s">
        <v>3233</v>
      </c>
      <c r="AA3724" s="2" t="s">
        <v>76</v>
      </c>
      <c r="AB3724" s="2" t="s">
        <v>77</v>
      </c>
      <c r="AC3724" s="2" t="s">
        <v>78</v>
      </c>
      <c r="AF3724" s="2">
        <f t="shared" si="465"/>
        <v>0</v>
      </c>
      <c r="AG3724" s="2">
        <v>125.51600000000001</v>
      </c>
      <c r="AH3724" s="2">
        <v>220</v>
      </c>
      <c r="AJ3724" s="2">
        <f t="shared" si="466"/>
        <v>0</v>
      </c>
      <c r="AK3724" s="2">
        <f t="shared" si="463"/>
        <v>87.884</v>
      </c>
      <c r="AL3724" s="5">
        <f t="shared" si="462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1961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1"/>
        <v>0.42947272727272723</v>
      </c>
      <c r="Z3725" s="2" t="s">
        <v>3233</v>
      </c>
      <c r="AA3725" s="2" t="s">
        <v>76</v>
      </c>
      <c r="AB3725" s="2" t="s">
        <v>77</v>
      </c>
      <c r="AC3725" s="2" t="s">
        <v>78</v>
      </c>
      <c r="AF3725" s="2">
        <f t="shared" si="465"/>
        <v>0</v>
      </c>
      <c r="AG3725" s="2">
        <v>125.51600000000001</v>
      </c>
      <c r="AH3725" s="2">
        <v>220</v>
      </c>
      <c r="AJ3725" s="2">
        <f t="shared" si="466"/>
        <v>0</v>
      </c>
      <c r="AK3725" s="2">
        <f t="shared" si="463"/>
        <v>94.483999999999995</v>
      </c>
      <c r="AL3725" s="5">
        <f t="shared" si="462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2882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1"/>
        <v>0.52504545454545459</v>
      </c>
      <c r="Z3726" s="2" t="s">
        <v>3233</v>
      </c>
      <c r="AA3726" s="2" t="s">
        <v>76</v>
      </c>
      <c r="AB3726" s="2" t="s">
        <v>77</v>
      </c>
      <c r="AC3726" s="2" t="s">
        <v>78</v>
      </c>
      <c r="AF3726" s="2">
        <f t="shared" si="465"/>
        <v>0</v>
      </c>
      <c r="AG3726" s="2">
        <v>104.49</v>
      </c>
      <c r="AH3726" s="2">
        <v>220</v>
      </c>
      <c r="AJ3726" s="2">
        <f t="shared" si="466"/>
        <v>0</v>
      </c>
      <c r="AK3726" s="2">
        <f t="shared" si="463"/>
        <v>115.51</v>
      </c>
      <c r="AL3726" s="5">
        <f t="shared" si="462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2883</v>
      </c>
      <c r="M3727" s="2" t="s">
        <v>41</v>
      </c>
      <c r="P3727" s="2" t="s">
        <v>73</v>
      </c>
      <c r="Q3727" s="2" t="s">
        <v>2884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1"/>
        <v>0.47704545454545455</v>
      </c>
      <c r="Z3727" s="2" t="s">
        <v>3233</v>
      </c>
      <c r="AA3727" s="2" t="s">
        <v>76</v>
      </c>
      <c r="AB3727" s="2" t="s">
        <v>77</v>
      </c>
      <c r="AC3727" s="2" t="s">
        <v>78</v>
      </c>
      <c r="AF3727" s="2">
        <f t="shared" si="465"/>
        <v>0</v>
      </c>
      <c r="AG3727" s="2">
        <v>115.05</v>
      </c>
      <c r="AJ3727" s="2">
        <f t="shared" si="466"/>
        <v>0</v>
      </c>
      <c r="AK3727" s="2">
        <f t="shared" si="463"/>
        <v>104.95</v>
      </c>
      <c r="AL3727" s="5">
        <f t="shared" si="462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1422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1275</v>
      </c>
      <c r="J3728" s="2" t="s">
        <v>2400</v>
      </c>
      <c r="L3728" s="2" t="s">
        <v>178</v>
      </c>
      <c r="M3728" s="2" t="s">
        <v>41</v>
      </c>
      <c r="O3728" s="2" t="s">
        <v>2885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1"/>
        <v>0.37426086956521742</v>
      </c>
      <c r="Z3728" s="2" t="s">
        <v>3233</v>
      </c>
      <c r="AA3728" s="2" t="s">
        <v>76</v>
      </c>
      <c r="AB3728" s="2" t="s">
        <v>77</v>
      </c>
      <c r="AC3728" s="2" t="s">
        <v>78</v>
      </c>
      <c r="AF3728" s="2">
        <f t="shared" si="465"/>
        <v>0</v>
      </c>
      <c r="AG3728" s="2">
        <v>143.91999999999999</v>
      </c>
      <c r="AJ3728" s="2">
        <f t="shared" si="466"/>
        <v>0</v>
      </c>
      <c r="AK3728" s="2">
        <f t="shared" si="463"/>
        <v>86.080000000000013</v>
      </c>
      <c r="AL3728" s="5">
        <f t="shared" si="462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2886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1"/>
        <v>0.39365217391304347</v>
      </c>
      <c r="Z3729" s="2" t="s">
        <v>3233</v>
      </c>
      <c r="AA3729" s="2" t="s">
        <v>76</v>
      </c>
      <c r="AB3729" s="2" t="s">
        <v>77</v>
      </c>
      <c r="AC3729" s="2" t="s">
        <v>78</v>
      </c>
      <c r="AF3729" s="2">
        <f t="shared" si="465"/>
        <v>0</v>
      </c>
      <c r="AJ3729" s="2">
        <f t="shared" si="466"/>
        <v>0</v>
      </c>
      <c r="AK3729" s="2">
        <f t="shared" si="463"/>
        <v>90.539999999999992</v>
      </c>
      <c r="AL3729" s="5">
        <f t="shared" si="462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1"/>
        <v>0.41681818181818175</v>
      </c>
      <c r="Z3730" s="2" t="s">
        <v>3233</v>
      </c>
      <c r="AA3730" s="2" t="s">
        <v>76</v>
      </c>
      <c r="AB3730" s="2" t="s">
        <v>77</v>
      </c>
      <c r="AC3730" s="2" t="s">
        <v>78</v>
      </c>
      <c r="AF3730" s="2">
        <f t="shared" si="465"/>
        <v>0</v>
      </c>
      <c r="AJ3730" s="2">
        <f t="shared" si="466"/>
        <v>0</v>
      </c>
      <c r="AK3730" s="2">
        <f t="shared" si="463"/>
        <v>91.699999999999989</v>
      </c>
      <c r="AL3730" s="5">
        <f t="shared" si="462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1298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1299</v>
      </c>
      <c r="L3731" s="2" t="s">
        <v>340</v>
      </c>
      <c r="M3731" s="2" t="s">
        <v>81</v>
      </c>
      <c r="O3731" s="2" t="s">
        <v>2887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1"/>
        <v>0.38559155621011287</v>
      </c>
      <c r="Z3731" s="2" t="s">
        <v>3233</v>
      </c>
      <c r="AA3731" s="2" t="s">
        <v>76</v>
      </c>
      <c r="AB3731" s="2" t="s">
        <v>77</v>
      </c>
      <c r="AC3731" s="2" t="s">
        <v>78</v>
      </c>
      <c r="AF3731" s="2">
        <f t="shared" si="465"/>
        <v>0</v>
      </c>
      <c r="AG3731" s="2">
        <v>105.59</v>
      </c>
      <c r="AJ3731" s="2">
        <f t="shared" si="466"/>
        <v>0</v>
      </c>
      <c r="AK3731" s="2">
        <f t="shared" si="463"/>
        <v>78.544999999999987</v>
      </c>
      <c r="AL3731" s="5">
        <f t="shared" si="462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2888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1"/>
        <v>0.4575909090909091</v>
      </c>
      <c r="Z3732" s="2" t="s">
        <v>3233</v>
      </c>
      <c r="AA3732" s="2" t="s">
        <v>76</v>
      </c>
      <c r="AB3732" s="2" t="s">
        <v>77</v>
      </c>
      <c r="AC3732" s="2" t="s">
        <v>78</v>
      </c>
      <c r="AF3732" s="2">
        <f t="shared" si="465"/>
        <v>0</v>
      </c>
      <c r="AG3732" s="2">
        <v>119.33</v>
      </c>
      <c r="AH3732" s="2">
        <v>220</v>
      </c>
      <c r="AJ3732" s="2">
        <f t="shared" si="466"/>
        <v>0</v>
      </c>
      <c r="AK3732" s="2">
        <f t="shared" si="463"/>
        <v>100.67</v>
      </c>
      <c r="AL3732" s="5">
        <f t="shared" si="462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2889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1"/>
        <v>0.48486363636363639</v>
      </c>
      <c r="Z3733" s="2" t="s">
        <v>3233</v>
      </c>
      <c r="AA3733" s="2" t="s">
        <v>76</v>
      </c>
      <c r="AB3733" s="2" t="s">
        <v>77</v>
      </c>
      <c r="AC3733" s="2" t="s">
        <v>78</v>
      </c>
      <c r="AF3733" s="2">
        <f t="shared" si="465"/>
        <v>0</v>
      </c>
      <c r="AG3733" s="2">
        <v>113.33</v>
      </c>
      <c r="AH3733" s="2">
        <v>220</v>
      </c>
      <c r="AJ3733" s="2">
        <f t="shared" si="466"/>
        <v>0</v>
      </c>
      <c r="AK3733" s="2">
        <f t="shared" si="463"/>
        <v>106.67</v>
      </c>
      <c r="AL3733" s="5">
        <f t="shared" ref="AL3733:AL3764" si="467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1"/>
        <v>0.44006916996047435</v>
      </c>
      <c r="Z3734" s="2" t="s">
        <v>3233</v>
      </c>
      <c r="AA3734" s="2" t="s">
        <v>76</v>
      </c>
      <c r="AB3734" s="2" t="s">
        <v>77</v>
      </c>
      <c r="AC3734" s="2" t="s">
        <v>78</v>
      </c>
      <c r="AF3734" s="2">
        <f t="shared" si="465"/>
        <v>0</v>
      </c>
      <c r="AG3734" s="2">
        <v>113.33</v>
      </c>
      <c r="AH3734" s="2">
        <v>220</v>
      </c>
      <c r="AJ3734" s="2">
        <f t="shared" si="466"/>
        <v>0</v>
      </c>
      <c r="AK3734" s="2">
        <f t="shared" si="463"/>
        <v>89.070000000000007</v>
      </c>
      <c r="AL3734" s="5">
        <f t="shared" si="467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2890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1"/>
        <v>0.49099999999999999</v>
      </c>
      <c r="Z3735" s="2" t="s">
        <v>3233</v>
      </c>
      <c r="AA3735" s="2" t="s">
        <v>76</v>
      </c>
      <c r="AB3735" s="2" t="s">
        <v>77</v>
      </c>
      <c r="AC3735" s="2" t="s">
        <v>78</v>
      </c>
      <c r="AF3735" s="2">
        <f t="shared" si="465"/>
        <v>0</v>
      </c>
      <c r="AG3735" s="2">
        <v>111.98</v>
      </c>
      <c r="AH3735" s="2">
        <v>210</v>
      </c>
      <c r="AJ3735" s="2">
        <f t="shared" si="466"/>
        <v>0</v>
      </c>
      <c r="AK3735" s="2">
        <f t="shared" si="463"/>
        <v>108.02</v>
      </c>
      <c r="AL3735" s="5">
        <f t="shared" si="467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2565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1"/>
        <v>0.37336666666666662</v>
      </c>
      <c r="Z3736" s="2" t="s">
        <v>3233</v>
      </c>
      <c r="AA3736" s="2" t="s">
        <v>76</v>
      </c>
      <c r="AB3736" s="2" t="s">
        <v>77</v>
      </c>
      <c r="AC3736" s="2" t="s">
        <v>78</v>
      </c>
      <c r="AF3736" s="2">
        <f t="shared" si="465"/>
        <v>0</v>
      </c>
      <c r="AG3736" s="2">
        <v>187.99</v>
      </c>
      <c r="AJ3736" s="2">
        <f t="shared" si="466"/>
        <v>0</v>
      </c>
      <c r="AK3736" s="2">
        <f t="shared" si="463"/>
        <v>112.00999999999999</v>
      </c>
      <c r="AL3736" s="5">
        <f t="shared" si="467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2891</v>
      </c>
      <c r="P3737" s="2" t="s">
        <v>1040</v>
      </c>
      <c r="Q3737" s="2" t="s">
        <v>2892</v>
      </c>
      <c r="R3737" s="2" t="s">
        <v>2893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1"/>
        <v>0.49359999999999998</v>
      </c>
      <c r="Z3737" s="2" t="s">
        <v>3233</v>
      </c>
      <c r="AA3737" s="2" t="s">
        <v>76</v>
      </c>
      <c r="AB3737" s="2" t="s">
        <v>77</v>
      </c>
      <c r="AC3737" s="2" t="s">
        <v>1040</v>
      </c>
      <c r="AF3737" s="2">
        <f t="shared" si="465"/>
        <v>0</v>
      </c>
      <c r="AJ3737" s="2">
        <f t="shared" si="466"/>
        <v>0</v>
      </c>
      <c r="AK3737" s="2">
        <f t="shared" si="463"/>
        <v>172.76</v>
      </c>
      <c r="AL3737" s="5">
        <f t="shared" si="467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1298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1299</v>
      </c>
      <c r="L3738" s="2" t="s">
        <v>340</v>
      </c>
      <c r="M3738" s="2" t="s">
        <v>81</v>
      </c>
      <c r="O3738" s="2" t="s">
        <v>2894</v>
      </c>
      <c r="P3738" s="2" t="s">
        <v>1040</v>
      </c>
      <c r="Q3738" s="2" t="s">
        <v>2895</v>
      </c>
      <c r="R3738" s="2" t="s">
        <v>2896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1"/>
        <v>0.33851921274601693</v>
      </c>
      <c r="Z3738" s="2" t="s">
        <v>3233</v>
      </c>
      <c r="AA3738" s="2" t="s">
        <v>76</v>
      </c>
      <c r="AB3738" s="2" t="s">
        <v>77</v>
      </c>
      <c r="AC3738" s="2" t="s">
        <v>1040</v>
      </c>
      <c r="AF3738" s="2">
        <f t="shared" si="465"/>
        <v>0</v>
      </c>
      <c r="AG3738" s="2">
        <v>141.16</v>
      </c>
      <c r="AJ3738" s="2">
        <f t="shared" si="466"/>
        <v>0</v>
      </c>
      <c r="AK3738" s="2">
        <f t="shared" si="463"/>
        <v>72.240000000000009</v>
      </c>
      <c r="AL3738" s="5">
        <f t="shared" si="467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3163</v>
      </c>
      <c r="L3739" s="2" t="s">
        <v>113</v>
      </c>
      <c r="M3739" s="2" t="s">
        <v>81</v>
      </c>
      <c r="O3739" s="2" t="s">
        <v>3165</v>
      </c>
      <c r="P3739" s="2" t="s">
        <v>1040</v>
      </c>
      <c r="Q3739" s="2" t="s">
        <v>2897</v>
      </c>
      <c r="R3739" s="2" t="s">
        <v>2898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1"/>
        <v>0.45652173913043476</v>
      </c>
      <c r="Z3739" s="2" t="s">
        <v>3233</v>
      </c>
      <c r="AA3739" s="2" t="s">
        <v>76</v>
      </c>
      <c r="AB3739" s="2" t="s">
        <v>77</v>
      </c>
      <c r="AC3739" s="2" t="s">
        <v>1040</v>
      </c>
      <c r="AF3739" s="2">
        <f t="shared" si="465"/>
        <v>0</v>
      </c>
      <c r="AG3739" s="2">
        <v>115</v>
      </c>
      <c r="AJ3739" s="2">
        <f t="shared" si="466"/>
        <v>0</v>
      </c>
      <c r="AK3739" s="2">
        <f t="shared" si="463"/>
        <v>483</v>
      </c>
      <c r="AL3739" s="5">
        <f t="shared" si="467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2532</v>
      </c>
      <c r="G3740" s="2">
        <v>503687014</v>
      </c>
      <c r="L3740" s="2" t="s">
        <v>134</v>
      </c>
      <c r="M3740" s="2" t="s">
        <v>110</v>
      </c>
      <c r="O3740" s="2" t="s">
        <v>3164</v>
      </c>
      <c r="P3740" s="2" t="s">
        <v>1040</v>
      </c>
      <c r="Q3740" s="2" t="s">
        <v>2897</v>
      </c>
      <c r="R3740" s="2" t="s">
        <v>2898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1"/>
        <v>0.47727272727272729</v>
      </c>
      <c r="Z3740" s="2" t="s">
        <v>3233</v>
      </c>
      <c r="AA3740" s="2" t="s">
        <v>76</v>
      </c>
      <c r="AB3740" s="2" t="s">
        <v>77</v>
      </c>
      <c r="AC3740" s="2" t="s">
        <v>1040</v>
      </c>
      <c r="AF3740" s="2">
        <f t="shared" si="465"/>
        <v>0</v>
      </c>
      <c r="AG3740" s="2">
        <v>115</v>
      </c>
      <c r="AJ3740" s="2">
        <f t="shared" si="466"/>
        <v>0</v>
      </c>
      <c r="AK3740" s="2">
        <f t="shared" si="463"/>
        <v>105</v>
      </c>
      <c r="AL3740" s="5">
        <f t="shared" si="467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2565</v>
      </c>
      <c r="M3741" s="2" t="s">
        <v>81</v>
      </c>
      <c r="O3741" s="2" t="s">
        <v>3169</v>
      </c>
      <c r="P3741" s="2" t="s">
        <v>1040</v>
      </c>
      <c r="Q3741" s="2" t="s">
        <v>2899</v>
      </c>
      <c r="R3741" s="2" t="s">
        <v>2900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1"/>
        <v>0.45994871794871794</v>
      </c>
      <c r="Z3741" s="2" t="s">
        <v>3233</v>
      </c>
      <c r="AA3741" s="2" t="s">
        <v>76</v>
      </c>
      <c r="AB3741" s="2" t="s">
        <v>77</v>
      </c>
      <c r="AC3741" s="2" t="s">
        <v>1040</v>
      </c>
      <c r="AF3741" s="2">
        <f t="shared" si="465"/>
        <v>0</v>
      </c>
      <c r="AJ3741" s="2">
        <f t="shared" si="466"/>
        <v>0</v>
      </c>
      <c r="AK3741" s="2">
        <f t="shared" si="463"/>
        <v>179.38</v>
      </c>
      <c r="AL3741" s="5">
        <f t="shared" si="467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2901</v>
      </c>
      <c r="P3742" s="2" t="s">
        <v>1040</v>
      </c>
      <c r="Q3742" s="2" t="s">
        <v>2745</v>
      </c>
      <c r="R3742" s="2" t="s">
        <v>2746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1"/>
        <v>0.44215657741559949</v>
      </c>
      <c r="Z3742" s="2" t="s">
        <v>3233</v>
      </c>
      <c r="AA3742" s="2" t="s">
        <v>76</v>
      </c>
      <c r="AB3742" s="2" t="s">
        <v>77</v>
      </c>
      <c r="AC3742" s="2" t="s">
        <v>1040</v>
      </c>
      <c r="AF3742" s="2">
        <f t="shared" si="465"/>
        <v>0</v>
      </c>
      <c r="AG3742" s="2">
        <v>153.34</v>
      </c>
      <c r="AJ3742" s="2">
        <f t="shared" si="466"/>
        <v>0</v>
      </c>
      <c r="AK3742" s="2">
        <f t="shared" si="463"/>
        <v>121.53999999999999</v>
      </c>
      <c r="AL3742" s="5">
        <f t="shared" si="467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1558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1559</v>
      </c>
      <c r="J3743" s="2" t="s">
        <v>1560</v>
      </c>
      <c r="L3743" s="2" t="s">
        <v>100</v>
      </c>
      <c r="M3743" s="2" t="s">
        <v>41</v>
      </c>
      <c r="P3743" s="2" t="s">
        <v>1040</v>
      </c>
      <c r="Q3743" s="2" t="s">
        <v>2745</v>
      </c>
      <c r="R3743" s="2" t="s">
        <v>2746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3233</v>
      </c>
      <c r="AA3743" s="2" t="s">
        <v>76</v>
      </c>
      <c r="AB3743" s="2" t="s">
        <v>77</v>
      </c>
      <c r="AC3743" s="2" t="s">
        <v>1040</v>
      </c>
      <c r="AF3743" s="2">
        <f t="shared" si="465"/>
        <v>0</v>
      </c>
      <c r="AJ3743" s="2">
        <f t="shared" si="466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1977</v>
      </c>
      <c r="R3744" s="2" t="s">
        <v>1978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8">(T3744-W3744)/T3744</f>
        <v>1</v>
      </c>
      <c r="Z3744" s="2" t="s">
        <v>3233</v>
      </c>
      <c r="AA3744" s="2" t="s">
        <v>88</v>
      </c>
      <c r="AB3744" s="2" t="s">
        <v>91</v>
      </c>
      <c r="AC3744" s="2" t="s">
        <v>85</v>
      </c>
      <c r="AF3744" s="2">
        <f t="shared" si="465"/>
        <v>0</v>
      </c>
      <c r="AJ3744" s="2">
        <f t="shared" si="466"/>
        <v>0</v>
      </c>
      <c r="AK3744" s="2">
        <f t="shared" si="463"/>
        <v>14</v>
      </c>
      <c r="AL3744" s="5">
        <f t="shared" si="467"/>
        <v>1</v>
      </c>
    </row>
    <row r="3745" spans="1:38" hidden="1" x14ac:dyDescent="0.2">
      <c r="A3745" s="2">
        <v>2026</v>
      </c>
      <c r="B3745" s="2">
        <v>3</v>
      </c>
      <c r="D3745" s="2" t="s">
        <v>2858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8"/>
        <v>0.41111111111111115</v>
      </c>
      <c r="Z3745" s="2" t="s">
        <v>3233</v>
      </c>
      <c r="AA3745" s="2" t="s">
        <v>46</v>
      </c>
      <c r="AB3745" s="2" t="s">
        <v>57</v>
      </c>
      <c r="AC3745" s="2" t="s">
        <v>58</v>
      </c>
      <c r="AF3745" s="2">
        <f t="shared" si="465"/>
        <v>0</v>
      </c>
      <c r="AG3745" s="2">
        <v>10.6</v>
      </c>
      <c r="AH3745" s="2">
        <v>18</v>
      </c>
      <c r="AJ3745" s="2">
        <f t="shared" si="466"/>
        <v>0</v>
      </c>
      <c r="AK3745" s="2">
        <f t="shared" si="463"/>
        <v>7.4</v>
      </c>
      <c r="AL3745" s="5">
        <f t="shared" si="467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8"/>
        <v>0.42833333333333329</v>
      </c>
      <c r="Z3746" s="2" t="s">
        <v>3233</v>
      </c>
      <c r="AA3746" s="2" t="s">
        <v>88</v>
      </c>
      <c r="AB3746" s="2" t="s">
        <v>91</v>
      </c>
      <c r="AC3746" s="2" t="s">
        <v>85</v>
      </c>
      <c r="AF3746" s="2">
        <f t="shared" si="465"/>
        <v>0</v>
      </c>
      <c r="AJ3746" s="2">
        <f t="shared" si="466"/>
        <v>0</v>
      </c>
      <c r="AK3746" s="2">
        <f t="shared" si="463"/>
        <v>5.14</v>
      </c>
      <c r="AL3746" s="5">
        <f t="shared" si="467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8"/>
        <v>0.42833333333333329</v>
      </c>
      <c r="Z3747" s="2" t="s">
        <v>3233</v>
      </c>
      <c r="AA3747" s="2" t="s">
        <v>88</v>
      </c>
      <c r="AB3747" s="2" t="s">
        <v>91</v>
      </c>
      <c r="AC3747" s="2" t="s">
        <v>85</v>
      </c>
      <c r="AF3747" s="2">
        <f t="shared" si="465"/>
        <v>0</v>
      </c>
      <c r="AJ3747" s="2">
        <f t="shared" si="466"/>
        <v>0</v>
      </c>
      <c r="AK3747" s="2">
        <f t="shared" si="463"/>
        <v>5.14</v>
      </c>
      <c r="AL3747" s="5">
        <f t="shared" si="467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2544</v>
      </c>
      <c r="L3748" s="2" t="s">
        <v>100</v>
      </c>
      <c r="M3748" s="2" t="s">
        <v>81</v>
      </c>
      <c r="O3748" s="2" t="s">
        <v>2851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8"/>
        <v>0.51</v>
      </c>
      <c r="Z3748" s="2" t="s">
        <v>3233</v>
      </c>
      <c r="AA3748" s="2" t="s">
        <v>88</v>
      </c>
      <c r="AB3748" s="2" t="s">
        <v>91</v>
      </c>
      <c r="AC3748" s="2" t="s">
        <v>85</v>
      </c>
      <c r="AF3748" s="2">
        <f t="shared" si="465"/>
        <v>0</v>
      </c>
      <c r="AG3748" s="2">
        <v>2.94</v>
      </c>
      <c r="AJ3748" s="2">
        <f t="shared" si="466"/>
        <v>0</v>
      </c>
      <c r="AK3748" s="2">
        <f t="shared" si="463"/>
        <v>6.12</v>
      </c>
      <c r="AL3748" s="5">
        <f t="shared" si="467"/>
        <v>0.51</v>
      </c>
    </row>
    <row r="3749" spans="1:38" hidden="1" x14ac:dyDescent="0.2">
      <c r="A3749" s="2">
        <v>2026</v>
      </c>
      <c r="B3749" s="2">
        <v>4</v>
      </c>
      <c r="D3749" s="2" t="s">
        <v>2852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8"/>
        <v>0.76666666666666672</v>
      </c>
      <c r="Z3749" s="2" t="s">
        <v>3233</v>
      </c>
      <c r="AA3749" s="2" t="s">
        <v>88</v>
      </c>
      <c r="AB3749" s="2" t="s">
        <v>91</v>
      </c>
      <c r="AC3749" s="2" t="s">
        <v>85</v>
      </c>
      <c r="AF3749" s="2">
        <f t="shared" si="465"/>
        <v>0</v>
      </c>
      <c r="AJ3749" s="2">
        <f t="shared" si="466"/>
        <v>0</v>
      </c>
      <c r="AK3749" s="2">
        <f t="shared" si="463"/>
        <v>9.66</v>
      </c>
      <c r="AL3749" s="5">
        <f t="shared" si="467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8"/>
        <v>1</v>
      </c>
      <c r="Z3750" s="2" t="s">
        <v>3233</v>
      </c>
      <c r="AA3750" s="2" t="s">
        <v>88</v>
      </c>
      <c r="AB3750" s="2" t="s">
        <v>91</v>
      </c>
      <c r="AC3750" s="2" t="s">
        <v>85</v>
      </c>
      <c r="AF3750" s="2">
        <f t="shared" si="465"/>
        <v>0</v>
      </c>
      <c r="AJ3750" s="2">
        <f t="shared" si="466"/>
        <v>0</v>
      </c>
      <c r="AK3750" s="2">
        <f t="shared" si="463"/>
        <v>8.4</v>
      </c>
      <c r="AL3750" s="5">
        <f t="shared" si="467"/>
        <v>1</v>
      </c>
    </row>
    <row r="3751" spans="1:38" hidden="1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2544</v>
      </c>
      <c r="L3751" s="2" t="s">
        <v>100</v>
      </c>
      <c r="M3751" s="2" t="s">
        <v>81</v>
      </c>
      <c r="O3751" s="2" t="s">
        <v>2851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8"/>
        <v>0.65206944444444448</v>
      </c>
      <c r="Z3751" s="2" t="s">
        <v>3233</v>
      </c>
      <c r="AA3751" s="2" t="s">
        <v>88</v>
      </c>
      <c r="AB3751" s="2" t="s">
        <v>91</v>
      </c>
      <c r="AC3751" s="2" t="s">
        <v>85</v>
      </c>
      <c r="AF3751" s="2">
        <f t="shared" si="465"/>
        <v>0</v>
      </c>
      <c r="AG3751" s="2">
        <v>2.5051000000000001</v>
      </c>
      <c r="AJ3751" s="2">
        <f t="shared" si="466"/>
        <v>0</v>
      </c>
      <c r="AK3751" s="2">
        <f t="shared" si="463"/>
        <v>4.6949000000000005</v>
      </c>
      <c r="AL3751" s="5">
        <f t="shared" si="467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2852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8"/>
        <v>1</v>
      </c>
      <c r="Z3752" s="2" t="s">
        <v>3233</v>
      </c>
      <c r="AA3752" s="2" t="s">
        <v>88</v>
      </c>
      <c r="AB3752" s="2" t="s">
        <v>91</v>
      </c>
      <c r="AC3752" s="2" t="s">
        <v>85</v>
      </c>
      <c r="AF3752" s="2">
        <f t="shared" si="465"/>
        <v>0</v>
      </c>
      <c r="AJ3752" s="2">
        <f t="shared" si="466"/>
        <v>0</v>
      </c>
      <c r="AK3752" s="2">
        <f t="shared" si="463"/>
        <v>12.6</v>
      </c>
      <c r="AL3752" s="5">
        <f t="shared" si="467"/>
        <v>1</v>
      </c>
    </row>
    <row r="3753" spans="1:38" hidden="1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2902</v>
      </c>
      <c r="P3753" s="2" t="s">
        <v>2903</v>
      </c>
      <c r="Q3753" s="2" t="s">
        <v>2904</v>
      </c>
      <c r="R3753" s="2" t="s">
        <v>2905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8"/>
        <v>0.25</v>
      </c>
      <c r="Z3753" s="2" t="s">
        <v>3233</v>
      </c>
      <c r="AA3753" s="2" t="s">
        <v>72</v>
      </c>
      <c r="AB3753" s="2" t="s">
        <v>2903</v>
      </c>
      <c r="AC3753" s="2" t="s">
        <v>2903</v>
      </c>
      <c r="AF3753" s="2">
        <f t="shared" si="465"/>
        <v>0</v>
      </c>
      <c r="AG3753" s="2">
        <v>149.25</v>
      </c>
      <c r="AJ3753" s="2">
        <f t="shared" si="466"/>
        <v>0</v>
      </c>
      <c r="AK3753" s="2">
        <f t="shared" si="463"/>
        <v>49.75</v>
      </c>
      <c r="AL3753" s="5">
        <f t="shared" si="467"/>
        <v>0.25</v>
      </c>
    </row>
    <row r="3754" spans="1:38" hidden="1" x14ac:dyDescent="0.2">
      <c r="A3754" s="2">
        <v>2026</v>
      </c>
      <c r="B3754" s="2">
        <v>4</v>
      </c>
      <c r="D3754" s="2" t="s">
        <v>2906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2907</v>
      </c>
      <c r="R3754" s="2" t="s">
        <v>2908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468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465"/>
        <v>0</v>
      </c>
      <c r="AJ3754" s="2">
        <f t="shared" si="466"/>
        <v>0</v>
      </c>
      <c r="AK3754" s="2">
        <f t="shared" si="463"/>
        <v>304.87750000000005</v>
      </c>
      <c r="AL3754" s="5">
        <f t="shared" si="467"/>
        <v>0.25000000000000006</v>
      </c>
    </row>
    <row r="3755" spans="1:38" hidden="1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2909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8"/>
        <v>1</v>
      </c>
      <c r="Z3755" s="2" t="s">
        <v>118</v>
      </c>
      <c r="AA3755" s="2" t="s">
        <v>318</v>
      </c>
      <c r="AF3755" s="2">
        <f t="shared" si="465"/>
        <v>0</v>
      </c>
      <c r="AJ3755" s="2">
        <f t="shared" si="466"/>
        <v>0</v>
      </c>
      <c r="AK3755" s="2">
        <f t="shared" si="463"/>
        <v>1099</v>
      </c>
      <c r="AL3755" s="5">
        <f t="shared" si="467"/>
        <v>1</v>
      </c>
    </row>
    <row r="3756" spans="1:38" hidden="1" x14ac:dyDescent="0.2">
      <c r="A3756" s="2">
        <v>2026</v>
      </c>
      <c r="B3756" s="2">
        <v>4</v>
      </c>
      <c r="D3756" s="2" t="s">
        <v>2801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8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465"/>
        <v>0</v>
      </c>
      <c r="AG3756" s="2">
        <f>W3756</f>
        <v>27.5</v>
      </c>
      <c r="AJ3756" s="2">
        <f t="shared" si="466"/>
        <v>0</v>
      </c>
      <c r="AK3756" s="2">
        <f t="shared" si="463"/>
        <v>27.5</v>
      </c>
      <c r="AL3756" s="5">
        <f t="shared" si="467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1559</v>
      </c>
      <c r="J3757" s="2" t="s">
        <v>1830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8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465"/>
        <v>0</v>
      </c>
      <c r="AG3757" s="2">
        <f>W3757</f>
        <v>25.200000000000003</v>
      </c>
      <c r="AJ3757" s="2">
        <f t="shared" si="466"/>
        <v>0</v>
      </c>
      <c r="AK3757" s="2">
        <f t="shared" si="463"/>
        <v>37.799999999999997</v>
      </c>
      <c r="AL3757" s="5">
        <f t="shared" si="467"/>
        <v>0.6</v>
      </c>
    </row>
    <row r="3758" spans="1:38" hidden="1" x14ac:dyDescent="0.2">
      <c r="A3758" s="2">
        <v>2026</v>
      </c>
      <c r="B3758" s="2">
        <v>3</v>
      </c>
      <c r="D3758" s="2" t="s">
        <v>2858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8"/>
        <v>0.36923076923076914</v>
      </c>
      <c r="Z3758" s="2" t="s">
        <v>3233</v>
      </c>
      <c r="AA3758" s="2" t="s">
        <v>46</v>
      </c>
      <c r="AB3758" s="2" t="s">
        <v>61</v>
      </c>
      <c r="AC3758" s="2" t="s">
        <v>58</v>
      </c>
      <c r="AF3758" s="2">
        <f t="shared" si="465"/>
        <v>0</v>
      </c>
      <c r="AG3758" s="2">
        <v>8.1999999999999993</v>
      </c>
      <c r="AH3758" s="2">
        <v>13</v>
      </c>
      <c r="AJ3758" s="2">
        <f t="shared" si="466"/>
        <v>0</v>
      </c>
      <c r="AK3758" s="2">
        <f t="shared" si="463"/>
        <v>9.5999999999999979</v>
      </c>
      <c r="AL3758" s="5">
        <f t="shared" si="467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1559</v>
      </c>
      <c r="J3759" s="2" t="s">
        <v>1830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8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465"/>
        <v>0</v>
      </c>
      <c r="AG3759" s="2">
        <f t="shared" ref="AG3759:AG3783" si="469">W3759</f>
        <v>34.375</v>
      </c>
      <c r="AJ3759" s="2">
        <f t="shared" si="466"/>
        <v>0</v>
      </c>
      <c r="AK3759" s="2">
        <f t="shared" si="463"/>
        <v>34.375</v>
      </c>
      <c r="AL3759" s="5">
        <f t="shared" si="467"/>
        <v>0.5</v>
      </c>
    </row>
    <row r="3760" spans="1:38" hidden="1" x14ac:dyDescent="0.2">
      <c r="A3760" s="2">
        <v>2026</v>
      </c>
      <c r="B3760" s="2">
        <v>4</v>
      </c>
      <c r="D3760" s="2" t="s">
        <v>1604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8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465"/>
        <v>0</v>
      </c>
      <c r="AG3760" s="2">
        <f t="shared" si="469"/>
        <v>20</v>
      </c>
      <c r="AJ3760" s="2">
        <f t="shared" si="466"/>
        <v>0</v>
      </c>
      <c r="AK3760" s="2">
        <f t="shared" si="463"/>
        <v>30</v>
      </c>
      <c r="AL3760" s="5">
        <f t="shared" si="467"/>
        <v>0.6</v>
      </c>
    </row>
    <row r="3761" spans="1:38" hidden="1" x14ac:dyDescent="0.2">
      <c r="A3761" s="2">
        <v>2026</v>
      </c>
      <c r="B3761" s="2">
        <v>4</v>
      </c>
      <c r="D3761" s="2" t="s">
        <v>1604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8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465"/>
        <v>0</v>
      </c>
      <c r="AG3761" s="2">
        <f t="shared" si="469"/>
        <v>25</v>
      </c>
      <c r="AJ3761" s="2">
        <f t="shared" si="466"/>
        <v>0</v>
      </c>
      <c r="AK3761" s="2">
        <f t="shared" si="463"/>
        <v>25</v>
      </c>
      <c r="AL3761" s="5">
        <f t="shared" si="467"/>
        <v>0.5</v>
      </c>
    </row>
    <row r="3762" spans="1:38" hidden="1" x14ac:dyDescent="0.2">
      <c r="A3762" s="2">
        <v>2026</v>
      </c>
      <c r="B3762" s="2">
        <v>3</v>
      </c>
      <c r="D3762" s="2" t="s">
        <v>2055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8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465"/>
        <v>0</v>
      </c>
      <c r="AG3762" s="2">
        <f t="shared" si="469"/>
        <v>45.6</v>
      </c>
      <c r="AJ3762" s="2">
        <f t="shared" si="466"/>
        <v>0</v>
      </c>
      <c r="AK3762" s="2">
        <f t="shared" si="463"/>
        <v>68.400000000000006</v>
      </c>
      <c r="AL3762" s="5">
        <f t="shared" si="467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2055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8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465"/>
        <v>0</v>
      </c>
      <c r="AG3763" s="2">
        <f t="shared" si="469"/>
        <v>100</v>
      </c>
      <c r="AJ3763" s="2">
        <f t="shared" si="466"/>
        <v>0</v>
      </c>
      <c r="AK3763" s="2">
        <f t="shared" si="463"/>
        <v>100</v>
      </c>
      <c r="AL3763" s="5">
        <f t="shared" si="467"/>
        <v>0.5</v>
      </c>
    </row>
    <row r="3764" spans="1:38" hidden="1" x14ac:dyDescent="0.2">
      <c r="A3764" s="2">
        <v>2026</v>
      </c>
      <c r="B3764" s="2">
        <v>4</v>
      </c>
      <c r="D3764" s="2" t="s">
        <v>2055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8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465"/>
        <v>0</v>
      </c>
      <c r="AG3764" s="2">
        <f t="shared" si="469"/>
        <v>58.800000000000004</v>
      </c>
      <c r="AJ3764" s="2">
        <f t="shared" si="466"/>
        <v>0</v>
      </c>
      <c r="AK3764" s="2">
        <f t="shared" si="463"/>
        <v>88.199999999999989</v>
      </c>
      <c r="AL3764" s="5">
        <f t="shared" si="467"/>
        <v>0.6</v>
      </c>
    </row>
    <row r="3765" spans="1:38" hidden="1" x14ac:dyDescent="0.2">
      <c r="A3765" s="2">
        <v>2026</v>
      </c>
      <c r="B3765" s="2">
        <v>4</v>
      </c>
      <c r="D3765" s="2" t="s">
        <v>2055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70">T3765*50%</f>
        <v>34.375</v>
      </c>
      <c r="X3765" s="5">
        <f t="shared" si="468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465"/>
        <v>0</v>
      </c>
      <c r="AG3765" s="2">
        <f t="shared" si="469"/>
        <v>34.375</v>
      </c>
      <c r="AJ3765" s="2">
        <f t="shared" si="466"/>
        <v>0</v>
      </c>
      <c r="AK3765" s="2">
        <f t="shared" si="463"/>
        <v>34.375</v>
      </c>
      <c r="AL3765" s="5">
        <f t="shared" ref="AL3765:AL3795" si="471">(T3765-W3765)/T3765</f>
        <v>0.5</v>
      </c>
    </row>
    <row r="3766" spans="1:38" hidden="1" x14ac:dyDescent="0.2">
      <c r="A3766" s="2">
        <v>2026</v>
      </c>
      <c r="B3766" s="2">
        <v>4</v>
      </c>
      <c r="C3766" s="2" t="s">
        <v>3454</v>
      </c>
      <c r="D3766" s="2" t="s">
        <v>2910</v>
      </c>
      <c r="F3766" s="2" t="s">
        <v>3453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70"/>
        <v>31.45</v>
      </c>
      <c r="X3766" s="5">
        <f t="shared" si="468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465"/>
        <v>0</v>
      </c>
      <c r="AG3766" s="2">
        <f t="shared" si="469"/>
        <v>31.45</v>
      </c>
      <c r="AJ3766" s="2">
        <f t="shared" si="466"/>
        <v>0</v>
      </c>
      <c r="AK3766" s="2">
        <f t="shared" ref="AK3766:AK3829" si="472">T3766-W3766</f>
        <v>31.45</v>
      </c>
      <c r="AL3766" s="5">
        <f t="shared" si="471"/>
        <v>0.5</v>
      </c>
    </row>
    <row r="3767" spans="1:38" hidden="1" x14ac:dyDescent="0.2">
      <c r="A3767" s="2">
        <v>2026</v>
      </c>
      <c r="B3767" s="2">
        <v>4</v>
      </c>
      <c r="D3767" s="2" t="s">
        <v>2911</v>
      </c>
      <c r="E3767" s="2" t="s">
        <v>38</v>
      </c>
      <c r="G3767" s="2">
        <v>506272524</v>
      </c>
      <c r="H3767" s="2" t="s">
        <v>40</v>
      </c>
      <c r="I3767" s="2" t="s">
        <v>2912</v>
      </c>
      <c r="J3767" s="2" t="s">
        <v>2913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465"/>
        <v>0</v>
      </c>
      <c r="AG3767" s="2">
        <f t="shared" si="469"/>
        <v>0</v>
      </c>
      <c r="AJ3767" s="2">
        <f t="shared" si="466"/>
        <v>0</v>
      </c>
      <c r="AK3767" s="2">
        <f t="shared" si="472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2911</v>
      </c>
      <c r="E3768" s="2" t="s">
        <v>38</v>
      </c>
      <c r="G3768" s="2">
        <v>506272524</v>
      </c>
      <c r="H3768" s="2" t="s">
        <v>40</v>
      </c>
      <c r="I3768" s="2" t="s">
        <v>2912</v>
      </c>
      <c r="J3768" s="2" t="s">
        <v>2913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465"/>
        <v>0</v>
      </c>
      <c r="AG3768" s="2">
        <f t="shared" si="469"/>
        <v>27.5</v>
      </c>
      <c r="AJ3768" s="2">
        <f t="shared" si="466"/>
        <v>0</v>
      </c>
      <c r="AK3768" s="2">
        <f t="shared" si="472"/>
        <v>27.5</v>
      </c>
      <c r="AL3768" s="5">
        <f t="shared" si="471"/>
        <v>0.5</v>
      </c>
    </row>
    <row r="3769" spans="1:38" hidden="1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2621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465"/>
        <v>0</v>
      </c>
      <c r="AG3769" s="2">
        <f t="shared" si="469"/>
        <v>65.600000000000009</v>
      </c>
      <c r="AJ3769" s="2">
        <f t="shared" si="466"/>
        <v>0</v>
      </c>
      <c r="AK3769" s="2">
        <f t="shared" si="472"/>
        <v>98.399999999999991</v>
      </c>
      <c r="AL3769" s="5">
        <f t="shared" si="471"/>
        <v>0.6</v>
      </c>
    </row>
    <row r="3770" spans="1:38" hidden="1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2621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465"/>
        <v>0</v>
      </c>
      <c r="AG3770" s="2">
        <f t="shared" si="469"/>
        <v>41.25</v>
      </c>
      <c r="AJ3770" s="2">
        <f t="shared" si="466"/>
        <v>0</v>
      </c>
      <c r="AK3770" s="2">
        <f t="shared" si="472"/>
        <v>41.25</v>
      </c>
      <c r="AL3770" s="5">
        <f t="shared" si="471"/>
        <v>0.5</v>
      </c>
    </row>
    <row r="3771" spans="1:38" hidden="1" x14ac:dyDescent="0.2">
      <c r="A3771" s="2">
        <v>2026</v>
      </c>
      <c r="B3771" s="2">
        <v>1</v>
      </c>
      <c r="D3771" s="2" t="s">
        <v>1627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1628</v>
      </c>
      <c r="J3771" s="2" t="s">
        <v>1629</v>
      </c>
      <c r="L3771" s="2" t="s">
        <v>294</v>
      </c>
      <c r="M3771" s="2" t="s">
        <v>40</v>
      </c>
      <c r="O3771" s="2" t="s">
        <v>2343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465"/>
        <v>0</v>
      </c>
      <c r="AG3771" s="2">
        <f t="shared" si="469"/>
        <v>0</v>
      </c>
      <c r="AJ3771" s="2">
        <f t="shared" si="466"/>
        <v>0</v>
      </c>
      <c r="AK3771" s="2">
        <f t="shared" si="472"/>
        <v>0</v>
      </c>
      <c r="AL3771" s="5">
        <v>-1</v>
      </c>
    </row>
    <row r="3772" spans="1:38" hidden="1" x14ac:dyDescent="0.2">
      <c r="A3772" s="2">
        <v>2026</v>
      </c>
      <c r="B3772" s="2">
        <v>1</v>
      </c>
      <c r="D3772" s="2" t="s">
        <v>1627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1628</v>
      </c>
      <c r="J3772" s="2" t="s">
        <v>1629</v>
      </c>
      <c r="L3772" s="2" t="s">
        <v>294</v>
      </c>
      <c r="M3772" s="2" t="s">
        <v>40</v>
      </c>
      <c r="O3772" s="2" t="s">
        <v>2343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465"/>
        <v>0</v>
      </c>
      <c r="AG3772" s="2">
        <f t="shared" si="469"/>
        <v>0</v>
      </c>
      <c r="AJ3772" s="2">
        <f t="shared" si="466"/>
        <v>0</v>
      </c>
      <c r="AK3772" s="2">
        <f t="shared" si="472"/>
        <v>0</v>
      </c>
      <c r="AL3772" s="5">
        <v>-1</v>
      </c>
    </row>
    <row r="3773" spans="1:38" hidden="1" x14ac:dyDescent="0.2">
      <c r="A3773" s="2">
        <v>2026</v>
      </c>
      <c r="B3773" s="2">
        <v>4</v>
      </c>
      <c r="D3773" s="2" t="s">
        <v>2914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3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465"/>
        <v>0</v>
      </c>
      <c r="AG3773" s="2">
        <f t="shared" si="469"/>
        <v>60.400000000000006</v>
      </c>
      <c r="AJ3773" s="2">
        <f t="shared" si="466"/>
        <v>0</v>
      </c>
      <c r="AK3773" s="2">
        <f t="shared" si="472"/>
        <v>90.6</v>
      </c>
      <c r="AL3773" s="5">
        <f t="shared" si="471"/>
        <v>0.6</v>
      </c>
    </row>
    <row r="3774" spans="1:38" hidden="1" x14ac:dyDescent="0.2">
      <c r="A3774" s="2">
        <v>2026</v>
      </c>
      <c r="B3774" s="2">
        <v>4</v>
      </c>
      <c r="D3774" s="2" t="s">
        <v>2914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3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465"/>
        <v>0</v>
      </c>
      <c r="AG3774" s="2">
        <f t="shared" si="469"/>
        <v>82.5</v>
      </c>
      <c r="AJ3774" s="2">
        <f t="shared" si="466"/>
        <v>0</v>
      </c>
      <c r="AK3774" s="2">
        <f t="shared" si="472"/>
        <v>82.5</v>
      </c>
      <c r="AL3774" s="5">
        <f t="shared" si="471"/>
        <v>0.5</v>
      </c>
    </row>
    <row r="3775" spans="1:38" hidden="1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2678</v>
      </c>
      <c r="J3775" s="2" t="s">
        <v>2679</v>
      </c>
      <c r="K3775" s="2">
        <v>962939747</v>
      </c>
      <c r="L3775" s="2" t="s">
        <v>100</v>
      </c>
      <c r="M3775" s="2" t="s">
        <v>40</v>
      </c>
      <c r="O3775" s="2" t="s">
        <v>2915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3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465"/>
        <v>0</v>
      </c>
      <c r="AG3775" s="2">
        <f t="shared" si="469"/>
        <v>20</v>
      </c>
      <c r="AJ3775" s="2">
        <f t="shared" si="466"/>
        <v>0</v>
      </c>
      <c r="AK3775" s="2">
        <f t="shared" si="472"/>
        <v>30</v>
      </c>
      <c r="AL3775" s="5">
        <f t="shared" si="471"/>
        <v>0.6</v>
      </c>
    </row>
    <row r="3776" spans="1:38" hidden="1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2678</v>
      </c>
      <c r="J3776" s="2" t="s">
        <v>2679</v>
      </c>
      <c r="K3776" s="2">
        <v>962939747</v>
      </c>
      <c r="L3776" s="2" t="s">
        <v>100</v>
      </c>
      <c r="M3776" s="2" t="s">
        <v>40</v>
      </c>
      <c r="O3776" s="2" t="s">
        <v>2915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3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465"/>
        <v>0</v>
      </c>
      <c r="AG3776" s="2">
        <f t="shared" si="469"/>
        <v>25</v>
      </c>
      <c r="AJ3776" s="2">
        <f t="shared" si="466"/>
        <v>0</v>
      </c>
      <c r="AK3776" s="2">
        <f t="shared" si="472"/>
        <v>25</v>
      </c>
      <c r="AL3776" s="5">
        <f t="shared" si="471"/>
        <v>0.5</v>
      </c>
    </row>
    <row r="3777" spans="1:38" hidden="1" x14ac:dyDescent="0.2">
      <c r="A3777" s="2">
        <v>2026</v>
      </c>
      <c r="B3777" s="2">
        <v>1</v>
      </c>
      <c r="D3777" s="2" t="s">
        <v>2340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3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465"/>
        <v>0</v>
      </c>
      <c r="AG3777" s="2">
        <f t="shared" si="469"/>
        <v>22</v>
      </c>
      <c r="AJ3777" s="2">
        <f t="shared" si="466"/>
        <v>0</v>
      </c>
      <c r="AK3777" s="2">
        <f t="shared" si="472"/>
        <v>33</v>
      </c>
      <c r="AL3777" s="5">
        <f t="shared" si="471"/>
        <v>0.6</v>
      </c>
    </row>
    <row r="3778" spans="1:38" hidden="1" x14ac:dyDescent="0.2">
      <c r="A3778" s="2">
        <v>2026</v>
      </c>
      <c r="B3778" s="2">
        <v>1</v>
      </c>
      <c r="D3778" s="2" t="s">
        <v>2340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3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si="465"/>
        <v>0</v>
      </c>
      <c r="AG3778" s="2">
        <f t="shared" si="469"/>
        <v>50</v>
      </c>
      <c r="AJ3778" s="2">
        <f t="shared" si="466"/>
        <v>0</v>
      </c>
      <c r="AK3778" s="2">
        <f t="shared" si="472"/>
        <v>50</v>
      </c>
      <c r="AL3778" s="5">
        <f t="shared" si="471"/>
        <v>0.5</v>
      </c>
    </row>
    <row r="3779" spans="1:38" hidden="1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ref="AF3779:AF3842" si="474">AJ3779</f>
        <v>0</v>
      </c>
      <c r="AG3779" s="2">
        <f t="shared" si="469"/>
        <v>0</v>
      </c>
      <c r="AJ3779" s="2">
        <f t="shared" ref="AJ3779:AJ3842" si="475">AI3779*T3779</f>
        <v>0</v>
      </c>
      <c r="AK3779" s="2">
        <f t="shared" si="472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474"/>
        <v>0</v>
      </c>
      <c r="AG3780" s="2">
        <f t="shared" si="469"/>
        <v>0</v>
      </c>
      <c r="AJ3780" s="2">
        <f t="shared" si="475"/>
        <v>0</v>
      </c>
      <c r="AK3780" s="2">
        <f t="shared" si="472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2333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6"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474"/>
        <v>0</v>
      </c>
      <c r="AG3781" s="2">
        <f t="shared" si="469"/>
        <v>20</v>
      </c>
      <c r="AJ3781" s="2">
        <f t="shared" si="475"/>
        <v>0</v>
      </c>
      <c r="AK3781" s="2">
        <f t="shared" si="472"/>
        <v>30</v>
      </c>
      <c r="AL3781" s="5">
        <f t="shared" si="471"/>
        <v>0.6</v>
      </c>
    </row>
    <row r="3782" spans="1:38" hidden="1" x14ac:dyDescent="0.2">
      <c r="A3782" s="2">
        <v>2026</v>
      </c>
      <c r="B3782" s="2">
        <v>1</v>
      </c>
      <c r="D3782" s="2" t="s">
        <v>2333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6"/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474"/>
        <v>0</v>
      </c>
      <c r="AG3782" s="2">
        <f t="shared" si="469"/>
        <v>25</v>
      </c>
      <c r="AJ3782" s="2">
        <f t="shared" si="475"/>
        <v>0</v>
      </c>
      <c r="AK3782" s="2">
        <f t="shared" si="472"/>
        <v>25</v>
      </c>
      <c r="AL3782" s="5">
        <f t="shared" si="471"/>
        <v>0.5</v>
      </c>
    </row>
    <row r="3783" spans="1:38" hidden="1" x14ac:dyDescent="0.2">
      <c r="A3783" s="2">
        <v>2026</v>
      </c>
      <c r="B3783" s="2">
        <v>2</v>
      </c>
      <c r="D3783" s="2" t="s">
        <v>2333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474"/>
        <v>0</v>
      </c>
      <c r="AG3783" s="2">
        <f t="shared" si="469"/>
        <v>-20</v>
      </c>
      <c r="AJ3783" s="2">
        <f t="shared" si="475"/>
        <v>0</v>
      </c>
      <c r="AK3783" s="2">
        <f t="shared" si="472"/>
        <v>-30</v>
      </c>
    </row>
    <row r="3784" spans="1:38" hidden="1" x14ac:dyDescent="0.2">
      <c r="A3784" s="2">
        <v>2026</v>
      </c>
      <c r="B3784" s="2">
        <v>3</v>
      </c>
      <c r="D3784" s="2" t="s">
        <v>2858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6"/>
        <v>1</v>
      </c>
      <c r="Z3784" s="2" t="s">
        <v>170</v>
      </c>
      <c r="AA3784" s="2" t="s">
        <v>170</v>
      </c>
      <c r="AF3784" s="2">
        <f t="shared" si="474"/>
        <v>0</v>
      </c>
      <c r="AJ3784" s="2">
        <f t="shared" si="475"/>
        <v>0</v>
      </c>
      <c r="AK3784" s="2">
        <f t="shared" si="472"/>
        <v>8</v>
      </c>
      <c r="AL3784" s="5">
        <f t="shared" si="471"/>
        <v>1</v>
      </c>
    </row>
    <row r="3785" spans="1:38" hidden="1" x14ac:dyDescent="0.2">
      <c r="A3785" s="2">
        <v>2026</v>
      </c>
      <c r="B3785" s="2">
        <v>2</v>
      </c>
      <c r="D3785" s="2" t="s">
        <v>2333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474"/>
        <v>0</v>
      </c>
      <c r="AG3785" s="2">
        <f t="shared" ref="AG3785:AG3809" si="477">W3785</f>
        <v>0</v>
      </c>
      <c r="AJ3785" s="2">
        <f t="shared" si="475"/>
        <v>0</v>
      </c>
      <c r="AK3785" s="2">
        <f t="shared" si="472"/>
        <v>-50</v>
      </c>
      <c r="AL3785" s="5">
        <f t="shared" si="471"/>
        <v>1</v>
      </c>
    </row>
    <row r="3786" spans="1:38" hidden="1" x14ac:dyDescent="0.2">
      <c r="A3786" s="2">
        <v>2026</v>
      </c>
      <c r="B3786" s="2">
        <v>2</v>
      </c>
      <c r="D3786" s="2" t="s">
        <v>2488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6"/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474"/>
        <v>0</v>
      </c>
      <c r="AG3786" s="2">
        <f t="shared" si="477"/>
        <v>20</v>
      </c>
      <c r="AJ3786" s="2">
        <f t="shared" si="475"/>
        <v>0</v>
      </c>
      <c r="AK3786" s="2">
        <f t="shared" si="472"/>
        <v>30</v>
      </c>
      <c r="AL3786" s="5">
        <f t="shared" si="471"/>
        <v>0.6</v>
      </c>
    </row>
    <row r="3787" spans="1:38" hidden="1" x14ac:dyDescent="0.2">
      <c r="A3787" s="2">
        <v>2026</v>
      </c>
      <c r="B3787" s="2">
        <v>2</v>
      </c>
      <c r="D3787" s="2" t="s">
        <v>2488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6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474"/>
        <v>0</v>
      </c>
      <c r="AG3787" s="2">
        <f t="shared" si="477"/>
        <v>25</v>
      </c>
      <c r="AJ3787" s="2">
        <f t="shared" si="475"/>
        <v>0</v>
      </c>
      <c r="AK3787" s="2">
        <f t="shared" si="472"/>
        <v>25</v>
      </c>
      <c r="AL3787" s="5">
        <f t="shared" si="471"/>
        <v>0.5</v>
      </c>
    </row>
    <row r="3788" spans="1:38" hidden="1" x14ac:dyDescent="0.2">
      <c r="A3788" s="2">
        <v>2026</v>
      </c>
      <c r="B3788" s="2">
        <v>4</v>
      </c>
      <c r="D3788" s="2" t="s">
        <v>2787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6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474"/>
        <v>0</v>
      </c>
      <c r="AG3788" s="2">
        <f t="shared" si="477"/>
        <v>22</v>
      </c>
      <c r="AJ3788" s="2">
        <f t="shared" si="475"/>
        <v>0</v>
      </c>
      <c r="AK3788" s="2">
        <f t="shared" si="472"/>
        <v>33</v>
      </c>
      <c r="AL3788" s="5">
        <f t="shared" si="471"/>
        <v>0.6</v>
      </c>
    </row>
    <row r="3789" spans="1:38" hidden="1" x14ac:dyDescent="0.2">
      <c r="A3789" s="2">
        <v>2026</v>
      </c>
      <c r="B3789" s="2">
        <v>4</v>
      </c>
      <c r="D3789" s="2" t="s">
        <v>2787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6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474"/>
        <v>0</v>
      </c>
      <c r="AG3789" s="2">
        <f t="shared" si="477"/>
        <v>27.5</v>
      </c>
      <c r="AJ3789" s="2">
        <f t="shared" si="475"/>
        <v>0</v>
      </c>
      <c r="AK3789" s="2">
        <f t="shared" si="472"/>
        <v>27.5</v>
      </c>
      <c r="AL3789" s="5">
        <f t="shared" si="471"/>
        <v>0.5</v>
      </c>
    </row>
    <row r="3790" spans="1:38" hidden="1" x14ac:dyDescent="0.2">
      <c r="A3790" s="2">
        <v>2026</v>
      </c>
      <c r="B3790" s="2">
        <v>4</v>
      </c>
      <c r="D3790" s="2" t="s">
        <v>2289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6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474"/>
        <v>0</v>
      </c>
      <c r="AG3790" s="2">
        <f t="shared" si="477"/>
        <v>33.200000000000003</v>
      </c>
      <c r="AJ3790" s="2">
        <f t="shared" si="475"/>
        <v>0</v>
      </c>
      <c r="AK3790" s="2">
        <f t="shared" si="472"/>
        <v>49.8</v>
      </c>
      <c r="AL3790" s="5">
        <f t="shared" si="471"/>
        <v>0.6</v>
      </c>
    </row>
    <row r="3791" spans="1:38" hidden="1" x14ac:dyDescent="0.2">
      <c r="A3791" s="2">
        <v>2026</v>
      </c>
      <c r="B3791" s="2">
        <v>4</v>
      </c>
      <c r="D3791" s="2" t="s">
        <v>2289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6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474"/>
        <v>0</v>
      </c>
      <c r="AG3791" s="2">
        <f t="shared" si="477"/>
        <v>20.625</v>
      </c>
      <c r="AJ3791" s="2">
        <f t="shared" si="475"/>
        <v>0</v>
      </c>
      <c r="AK3791" s="2">
        <f t="shared" si="472"/>
        <v>20.625</v>
      </c>
      <c r="AL3791" s="5">
        <f t="shared" si="471"/>
        <v>0.5</v>
      </c>
    </row>
    <row r="3792" spans="1:38" hidden="1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6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474"/>
        <v>0</v>
      </c>
      <c r="AG3792" s="2">
        <f t="shared" si="477"/>
        <v>25.200000000000003</v>
      </c>
      <c r="AJ3792" s="2">
        <f t="shared" si="475"/>
        <v>0</v>
      </c>
      <c r="AK3792" s="2">
        <f t="shared" si="472"/>
        <v>37.799999999999997</v>
      </c>
      <c r="AL3792" s="5">
        <f t="shared" si="471"/>
        <v>0.6</v>
      </c>
    </row>
    <row r="3793" spans="1:38" hidden="1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474"/>
        <v>0</v>
      </c>
      <c r="AG3793" s="2">
        <f t="shared" si="477"/>
        <v>0</v>
      </c>
      <c r="AJ3793" s="2">
        <f t="shared" si="475"/>
        <v>0</v>
      </c>
      <c r="AK3793" s="2">
        <f t="shared" si="472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1665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8"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474"/>
        <v>0</v>
      </c>
      <c r="AG3794" s="2">
        <f t="shared" si="477"/>
        <v>228.8</v>
      </c>
      <c r="AJ3794" s="2">
        <f t="shared" si="475"/>
        <v>0</v>
      </c>
      <c r="AK3794" s="2">
        <f t="shared" si="472"/>
        <v>343.2</v>
      </c>
      <c r="AL3794" s="5">
        <f t="shared" si="471"/>
        <v>0.6</v>
      </c>
    </row>
    <row r="3795" spans="1:38" hidden="1" x14ac:dyDescent="0.2">
      <c r="A3795" s="2">
        <v>2026</v>
      </c>
      <c r="B3795" s="2">
        <v>1</v>
      </c>
      <c r="D3795" s="2" t="s">
        <v>1665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8"/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474"/>
        <v>0</v>
      </c>
      <c r="AG3795" s="2">
        <f t="shared" si="477"/>
        <v>50</v>
      </c>
      <c r="AJ3795" s="2">
        <f t="shared" si="475"/>
        <v>0</v>
      </c>
      <c r="AK3795" s="2">
        <f t="shared" si="472"/>
        <v>50</v>
      </c>
      <c r="AL3795" s="5">
        <f t="shared" si="471"/>
        <v>0.5</v>
      </c>
    </row>
    <row r="3796" spans="1:38" hidden="1" x14ac:dyDescent="0.2">
      <c r="A3796" s="2">
        <v>2026</v>
      </c>
      <c r="B3796" s="2">
        <v>3</v>
      </c>
      <c r="D3796" s="2" t="s">
        <v>1665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474"/>
        <v>0</v>
      </c>
      <c r="AG3796" s="2">
        <f t="shared" si="477"/>
        <v>-114.4</v>
      </c>
      <c r="AJ3796" s="2">
        <f t="shared" si="475"/>
        <v>0</v>
      </c>
      <c r="AK3796" s="2">
        <f t="shared" si="472"/>
        <v>-171.6</v>
      </c>
    </row>
    <row r="3797" spans="1:38" hidden="1" x14ac:dyDescent="0.2">
      <c r="A3797" s="2">
        <v>2026</v>
      </c>
      <c r="B3797" s="2">
        <v>3</v>
      </c>
      <c r="D3797" s="2" t="s">
        <v>1665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474"/>
        <v>0</v>
      </c>
      <c r="AG3797" s="2">
        <f t="shared" si="477"/>
        <v>0</v>
      </c>
      <c r="AJ3797" s="2">
        <f t="shared" si="475"/>
        <v>0</v>
      </c>
      <c r="AK3797" s="2">
        <f t="shared" si="472"/>
        <v>-50</v>
      </c>
    </row>
    <row r="3798" spans="1:38" hidden="1" x14ac:dyDescent="0.2">
      <c r="A3798" s="2">
        <v>2026</v>
      </c>
      <c r="B3798" s="2">
        <v>3</v>
      </c>
      <c r="D3798" s="2" t="s">
        <v>2630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8"/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474"/>
        <v>0</v>
      </c>
      <c r="AG3798" s="2">
        <f t="shared" si="477"/>
        <v>71.2</v>
      </c>
      <c r="AJ3798" s="2">
        <f t="shared" si="475"/>
        <v>0</v>
      </c>
      <c r="AK3798" s="2">
        <f t="shared" si="472"/>
        <v>106.8</v>
      </c>
      <c r="AL3798" s="5">
        <f t="shared" ref="AL3798:AL3828" si="479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2630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8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474"/>
        <v>0</v>
      </c>
      <c r="AG3799" s="2">
        <f t="shared" si="477"/>
        <v>41.25</v>
      </c>
      <c r="AJ3799" s="2">
        <f t="shared" si="475"/>
        <v>0</v>
      </c>
      <c r="AK3799" s="2">
        <f t="shared" si="472"/>
        <v>41.25</v>
      </c>
      <c r="AL3799" s="5">
        <f t="shared" si="479"/>
        <v>0.5</v>
      </c>
    </row>
    <row r="3800" spans="1:38" hidden="1" x14ac:dyDescent="0.2">
      <c r="A3800" s="2">
        <v>2026</v>
      </c>
      <c r="B3800" s="2">
        <v>2</v>
      </c>
      <c r="D3800" s="2" t="s">
        <v>2497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8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474"/>
        <v>0</v>
      </c>
      <c r="AG3800" s="2">
        <f t="shared" si="477"/>
        <v>22</v>
      </c>
      <c r="AJ3800" s="2">
        <f t="shared" si="475"/>
        <v>0</v>
      </c>
      <c r="AK3800" s="2">
        <f t="shared" si="472"/>
        <v>33</v>
      </c>
      <c r="AL3800" s="5">
        <f t="shared" si="479"/>
        <v>0.6</v>
      </c>
    </row>
    <row r="3801" spans="1:38" hidden="1" x14ac:dyDescent="0.2">
      <c r="A3801" s="2">
        <v>2026</v>
      </c>
      <c r="B3801" s="2">
        <v>2</v>
      </c>
      <c r="D3801" s="2" t="s">
        <v>2497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8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474"/>
        <v>0</v>
      </c>
      <c r="AG3801" s="2">
        <f t="shared" si="477"/>
        <v>27.5</v>
      </c>
      <c r="AJ3801" s="2">
        <f t="shared" si="475"/>
        <v>0</v>
      </c>
      <c r="AK3801" s="2">
        <f t="shared" si="472"/>
        <v>27.5</v>
      </c>
      <c r="AL3801" s="5">
        <f t="shared" si="479"/>
        <v>0.5</v>
      </c>
    </row>
    <row r="3802" spans="1:38" hidden="1" x14ac:dyDescent="0.2">
      <c r="A3802" s="2">
        <v>2026</v>
      </c>
      <c r="B3802" s="2">
        <v>1</v>
      </c>
      <c r="D3802" s="2" t="s">
        <v>1442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8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474"/>
        <v>0</v>
      </c>
      <c r="AG3802" s="2">
        <f t="shared" si="477"/>
        <v>31.6</v>
      </c>
      <c r="AJ3802" s="2">
        <f t="shared" si="475"/>
        <v>0</v>
      </c>
      <c r="AK3802" s="2">
        <f t="shared" si="472"/>
        <v>47.4</v>
      </c>
      <c r="AL3802" s="5">
        <f t="shared" si="479"/>
        <v>0.6</v>
      </c>
    </row>
    <row r="3803" spans="1:38" hidden="1" x14ac:dyDescent="0.2">
      <c r="A3803" s="2">
        <v>2026</v>
      </c>
      <c r="B3803" s="2">
        <v>1</v>
      </c>
      <c r="D3803" s="2" t="s">
        <v>1442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8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474"/>
        <v>0</v>
      </c>
      <c r="AG3803" s="2">
        <f t="shared" si="477"/>
        <v>50</v>
      </c>
      <c r="AJ3803" s="2">
        <f t="shared" si="475"/>
        <v>0</v>
      </c>
      <c r="AK3803" s="2">
        <f t="shared" si="472"/>
        <v>50</v>
      </c>
      <c r="AL3803" s="5">
        <f t="shared" si="479"/>
        <v>0.5</v>
      </c>
    </row>
    <row r="3804" spans="1:38" hidden="1" x14ac:dyDescent="0.2">
      <c r="A3804" s="2">
        <v>2026</v>
      </c>
      <c r="B3804" s="2">
        <v>3</v>
      </c>
      <c r="D3804" s="2" t="s">
        <v>1442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8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474"/>
        <v>0</v>
      </c>
      <c r="AG3804" s="2">
        <f t="shared" si="477"/>
        <v>33.200000000000003</v>
      </c>
      <c r="AJ3804" s="2">
        <f t="shared" si="475"/>
        <v>0</v>
      </c>
      <c r="AK3804" s="2">
        <f t="shared" si="472"/>
        <v>49.8</v>
      </c>
      <c r="AL3804" s="5">
        <f t="shared" si="479"/>
        <v>0.6</v>
      </c>
    </row>
    <row r="3805" spans="1:38" hidden="1" x14ac:dyDescent="0.2">
      <c r="A3805" s="2">
        <v>2026</v>
      </c>
      <c r="B3805" s="2">
        <v>3</v>
      </c>
      <c r="D3805" s="2" t="s">
        <v>1442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8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474"/>
        <v>0</v>
      </c>
      <c r="AG3805" s="2">
        <f t="shared" si="477"/>
        <v>27.5</v>
      </c>
      <c r="AJ3805" s="2">
        <f t="shared" si="475"/>
        <v>0</v>
      </c>
      <c r="AK3805" s="2">
        <f t="shared" si="472"/>
        <v>27.5</v>
      </c>
      <c r="AL3805" s="5">
        <f t="shared" si="479"/>
        <v>0.5</v>
      </c>
    </row>
    <row r="3806" spans="1:38" hidden="1" x14ac:dyDescent="0.2">
      <c r="A3806" s="2">
        <v>2026</v>
      </c>
      <c r="B3806" s="2">
        <v>4</v>
      </c>
      <c r="D3806" s="2" t="s">
        <v>2803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2804</v>
      </c>
      <c r="J3806" s="2" t="s">
        <v>2805</v>
      </c>
      <c r="L3806" s="2" t="s">
        <v>202</v>
      </c>
      <c r="M3806" s="2" t="s">
        <v>40</v>
      </c>
      <c r="O3806" s="2" t="s">
        <v>2806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8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474"/>
        <v>0</v>
      </c>
      <c r="AG3806" s="2">
        <f t="shared" si="477"/>
        <v>24.400000000000002</v>
      </c>
      <c r="AJ3806" s="2">
        <f t="shared" si="475"/>
        <v>0</v>
      </c>
      <c r="AK3806" s="2">
        <f t="shared" si="472"/>
        <v>36.599999999999994</v>
      </c>
      <c r="AL3806" s="5">
        <f t="shared" si="479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2803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2804</v>
      </c>
      <c r="J3807" s="2" t="s">
        <v>2805</v>
      </c>
      <c r="L3807" s="2" t="s">
        <v>202</v>
      </c>
      <c r="M3807" s="2" t="s">
        <v>40</v>
      </c>
      <c r="O3807" s="2" t="s">
        <v>2806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8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474"/>
        <v>0</v>
      </c>
      <c r="AG3807" s="2">
        <f t="shared" si="477"/>
        <v>27.5</v>
      </c>
      <c r="AJ3807" s="2">
        <f t="shared" si="475"/>
        <v>0</v>
      </c>
      <c r="AK3807" s="2">
        <f t="shared" si="472"/>
        <v>27.5</v>
      </c>
      <c r="AL3807" s="5">
        <f t="shared" si="479"/>
        <v>0.5</v>
      </c>
    </row>
    <row r="3808" spans="1:38" hidden="1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2300</v>
      </c>
      <c r="J3808" s="2" t="s">
        <v>2301</v>
      </c>
      <c r="K3808" s="2">
        <v>965790183</v>
      </c>
      <c r="L3808" s="2" t="s">
        <v>178</v>
      </c>
      <c r="M3808" s="2" t="s">
        <v>40</v>
      </c>
      <c r="O3808" s="2" t="s">
        <v>2916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8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474"/>
        <v>0</v>
      </c>
      <c r="AG3808" s="2">
        <f t="shared" si="477"/>
        <v>26.8</v>
      </c>
      <c r="AJ3808" s="2">
        <f t="shared" si="475"/>
        <v>0</v>
      </c>
      <c r="AK3808" s="2">
        <f t="shared" si="472"/>
        <v>40.200000000000003</v>
      </c>
      <c r="AL3808" s="5">
        <f t="shared" si="479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2300</v>
      </c>
      <c r="J3809" s="2" t="s">
        <v>2301</v>
      </c>
      <c r="K3809" s="2">
        <v>965790183</v>
      </c>
      <c r="L3809" s="2" t="s">
        <v>178</v>
      </c>
      <c r="M3809" s="2" t="s">
        <v>40</v>
      </c>
      <c r="O3809" s="2" t="s">
        <v>2916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8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474"/>
        <v>0</v>
      </c>
      <c r="AG3809" s="2">
        <f t="shared" si="477"/>
        <v>27.5</v>
      </c>
      <c r="AJ3809" s="2">
        <f t="shared" si="475"/>
        <v>0</v>
      </c>
      <c r="AK3809" s="2">
        <f t="shared" si="472"/>
        <v>27.5</v>
      </c>
      <c r="AL3809" s="5">
        <f t="shared" si="479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8"/>
        <v>1</v>
      </c>
      <c r="Z3810" s="2" t="s">
        <v>170</v>
      </c>
      <c r="AA3810" s="2" t="s">
        <v>170</v>
      </c>
      <c r="AF3810" s="2">
        <f t="shared" si="474"/>
        <v>0</v>
      </c>
      <c r="AJ3810" s="2">
        <f t="shared" si="475"/>
        <v>0</v>
      </c>
      <c r="AK3810" s="2">
        <f t="shared" si="472"/>
        <v>120</v>
      </c>
      <c r="AL3810" s="5">
        <f t="shared" si="479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8"/>
        <v>1</v>
      </c>
      <c r="Z3811" s="2" t="s">
        <v>170</v>
      </c>
      <c r="AA3811" s="2" t="s">
        <v>170</v>
      </c>
      <c r="AF3811" s="2">
        <f t="shared" si="474"/>
        <v>0</v>
      </c>
      <c r="AJ3811" s="2">
        <f t="shared" si="475"/>
        <v>0</v>
      </c>
      <c r="AK3811" s="2">
        <f t="shared" si="472"/>
        <v>5</v>
      </c>
      <c r="AL3811" s="5">
        <f t="shared" si="479"/>
        <v>1</v>
      </c>
    </row>
    <row r="3812" spans="1:38" hidden="1" x14ac:dyDescent="0.2">
      <c r="A3812" s="2">
        <v>2026</v>
      </c>
      <c r="B3812" s="2">
        <v>4</v>
      </c>
      <c r="D3812" s="2" t="s">
        <v>2055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8"/>
        <v>1</v>
      </c>
      <c r="Z3812" s="2" t="s">
        <v>170</v>
      </c>
      <c r="AA3812" s="2" t="s">
        <v>170</v>
      </c>
      <c r="AF3812" s="2">
        <f t="shared" si="474"/>
        <v>0</v>
      </c>
      <c r="AJ3812" s="2">
        <f t="shared" si="475"/>
        <v>0</v>
      </c>
      <c r="AK3812" s="2">
        <f t="shared" si="472"/>
        <v>5</v>
      </c>
      <c r="AL3812" s="5">
        <f t="shared" si="479"/>
        <v>1</v>
      </c>
    </row>
    <row r="3813" spans="1:38" hidden="1" x14ac:dyDescent="0.2">
      <c r="A3813" s="2">
        <v>2026</v>
      </c>
      <c r="B3813" s="2">
        <v>4</v>
      </c>
      <c r="D3813" s="2" t="s">
        <v>2532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8"/>
        <v>0.23333333333333334</v>
      </c>
      <c r="Z3813" s="2" t="s">
        <v>170</v>
      </c>
      <c r="AA3813" s="2" t="s">
        <v>170</v>
      </c>
      <c r="AF3813" s="2">
        <f t="shared" si="474"/>
        <v>0</v>
      </c>
      <c r="AJ3813" s="2">
        <f t="shared" si="475"/>
        <v>0</v>
      </c>
      <c r="AK3813" s="2">
        <f t="shared" si="472"/>
        <v>7</v>
      </c>
      <c r="AL3813" s="5">
        <f t="shared" si="479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2873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8"/>
        <v>1</v>
      </c>
      <c r="Z3814" s="2" t="s">
        <v>170</v>
      </c>
      <c r="AA3814" s="2" t="s">
        <v>170</v>
      </c>
      <c r="AF3814" s="2">
        <f t="shared" si="474"/>
        <v>0</v>
      </c>
      <c r="AJ3814" s="2">
        <f t="shared" si="475"/>
        <v>0</v>
      </c>
      <c r="AK3814" s="2">
        <f t="shared" si="472"/>
        <v>8</v>
      </c>
      <c r="AL3814" s="5">
        <f t="shared" si="479"/>
        <v>1</v>
      </c>
    </row>
    <row r="3815" spans="1:38" hidden="1" x14ac:dyDescent="0.2">
      <c r="A3815" s="2">
        <v>2026</v>
      </c>
      <c r="B3815" s="2">
        <v>4</v>
      </c>
      <c r="D3815" s="2" t="s">
        <v>2565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8"/>
        <v>1</v>
      </c>
      <c r="Z3815" s="2" t="s">
        <v>170</v>
      </c>
      <c r="AA3815" s="2" t="s">
        <v>170</v>
      </c>
      <c r="AF3815" s="2">
        <f t="shared" si="474"/>
        <v>0</v>
      </c>
      <c r="AJ3815" s="2">
        <f t="shared" si="475"/>
        <v>0</v>
      </c>
      <c r="AK3815" s="2">
        <f t="shared" si="472"/>
        <v>15</v>
      </c>
      <c r="AL3815" s="5">
        <f t="shared" si="479"/>
        <v>1</v>
      </c>
    </row>
    <row r="3816" spans="1:38" hidden="1" x14ac:dyDescent="0.2">
      <c r="A3816" s="2">
        <v>2026</v>
      </c>
      <c r="B3816" s="2">
        <v>4</v>
      </c>
      <c r="D3816" s="2" t="s">
        <v>1298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1299</v>
      </c>
      <c r="L3816" s="2" t="s">
        <v>340</v>
      </c>
      <c r="M3816" s="2" t="s">
        <v>81</v>
      </c>
      <c r="O3816" s="2" t="s">
        <v>2894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8"/>
        <v>0.23333333333333334</v>
      </c>
      <c r="Z3816" s="2" t="s">
        <v>170</v>
      </c>
      <c r="AA3816" s="2" t="s">
        <v>170</v>
      </c>
      <c r="AF3816" s="2">
        <f t="shared" si="474"/>
        <v>0</v>
      </c>
      <c r="AG3816" s="2">
        <v>23</v>
      </c>
      <c r="AJ3816" s="2">
        <f t="shared" si="475"/>
        <v>0</v>
      </c>
      <c r="AK3816" s="2">
        <f t="shared" si="472"/>
        <v>7</v>
      </c>
      <c r="AL3816" s="5">
        <f t="shared" si="479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943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4"/>
        <v>0</v>
      </c>
      <c r="AJ3817" s="2">
        <f t="shared" si="475"/>
        <v>0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2888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8"/>
        <v>2.000401846171453E-16</v>
      </c>
      <c r="Z3818" s="2" t="s">
        <v>3233</v>
      </c>
      <c r="AA3818" s="2" t="s">
        <v>97</v>
      </c>
      <c r="AB3818" s="2" t="s">
        <v>77</v>
      </c>
      <c r="AC3818" s="2" t="s">
        <v>94</v>
      </c>
      <c r="AF3818" s="2">
        <f t="shared" si="474"/>
        <v>0</v>
      </c>
      <c r="AJ3818" s="2">
        <f t="shared" si="475"/>
        <v>0</v>
      </c>
      <c r="AK3818" s="2">
        <f t="shared" si="472"/>
        <v>0</v>
      </c>
      <c r="AL3818" s="5">
        <f t="shared" si="479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2889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8"/>
        <v>0</v>
      </c>
      <c r="Z3819" s="2" t="s">
        <v>3233</v>
      </c>
      <c r="AA3819" s="2" t="s">
        <v>97</v>
      </c>
      <c r="AB3819" s="2" t="s">
        <v>77</v>
      </c>
      <c r="AC3819" s="2" t="s">
        <v>94</v>
      </c>
      <c r="AF3819" s="2">
        <f t="shared" si="474"/>
        <v>0</v>
      </c>
      <c r="AG3819" s="2">
        <v>1.48</v>
      </c>
      <c r="AH3819" s="2">
        <v>1.48</v>
      </c>
      <c r="AJ3819" s="2">
        <f t="shared" si="475"/>
        <v>0</v>
      </c>
      <c r="AK3819" s="2">
        <f t="shared" si="472"/>
        <v>0</v>
      </c>
      <c r="AL3819" s="5">
        <f t="shared" si="479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8"/>
        <v>0</v>
      </c>
      <c r="Z3820" s="2" t="s">
        <v>3233</v>
      </c>
      <c r="AA3820" s="2" t="s">
        <v>97</v>
      </c>
      <c r="AB3820" s="2" t="s">
        <v>77</v>
      </c>
      <c r="AC3820" s="2" t="s">
        <v>94</v>
      </c>
      <c r="AF3820" s="2">
        <f t="shared" si="474"/>
        <v>0</v>
      </c>
      <c r="AJ3820" s="2">
        <f t="shared" si="475"/>
        <v>0</v>
      </c>
      <c r="AK3820" s="2">
        <f t="shared" si="472"/>
        <v>0</v>
      </c>
      <c r="AL3820" s="5">
        <f t="shared" si="479"/>
        <v>0</v>
      </c>
    </row>
    <row r="3821" spans="1:38" hidden="1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8"/>
        <v>0</v>
      </c>
      <c r="Z3821" s="2" t="s">
        <v>3233</v>
      </c>
      <c r="AA3821" s="2" t="s">
        <v>97</v>
      </c>
      <c r="AB3821" s="2" t="s">
        <v>77</v>
      </c>
      <c r="AC3821" s="2" t="s">
        <v>94</v>
      </c>
      <c r="AF3821" s="2">
        <f t="shared" si="474"/>
        <v>0</v>
      </c>
      <c r="AJ3821" s="2">
        <f t="shared" si="475"/>
        <v>0</v>
      </c>
      <c r="AK3821" s="2">
        <f t="shared" si="472"/>
        <v>0</v>
      </c>
      <c r="AL3821" s="5">
        <f t="shared" si="479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2891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8"/>
        <v>0</v>
      </c>
      <c r="Z3822" s="2" t="s">
        <v>3233</v>
      </c>
      <c r="AA3822" s="2" t="s">
        <v>97</v>
      </c>
      <c r="AB3822" s="2" t="s">
        <v>77</v>
      </c>
      <c r="AC3822" s="2" t="s">
        <v>94</v>
      </c>
      <c r="AF3822" s="2">
        <f t="shared" si="474"/>
        <v>0</v>
      </c>
      <c r="AJ3822" s="2">
        <f t="shared" si="475"/>
        <v>0</v>
      </c>
      <c r="AK3822" s="2">
        <f t="shared" si="472"/>
        <v>0</v>
      </c>
      <c r="AL3822" s="5">
        <f t="shared" si="479"/>
        <v>0</v>
      </c>
    </row>
    <row r="3823" spans="1:38" hidden="1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8"/>
        <v>0</v>
      </c>
      <c r="Z3823" s="2" t="s">
        <v>3233</v>
      </c>
      <c r="AA3823" s="2" t="s">
        <v>97</v>
      </c>
      <c r="AB3823" s="2" t="s">
        <v>77</v>
      </c>
      <c r="AC3823" s="2" t="s">
        <v>94</v>
      </c>
      <c r="AF3823" s="2">
        <f t="shared" si="474"/>
        <v>0</v>
      </c>
      <c r="AG3823" s="2">
        <v>1.48</v>
      </c>
      <c r="AH3823" s="2">
        <v>1.48</v>
      </c>
      <c r="AJ3823" s="2">
        <f t="shared" si="475"/>
        <v>0</v>
      </c>
      <c r="AK3823" s="2">
        <f t="shared" si="472"/>
        <v>0</v>
      </c>
      <c r="AL3823" s="5">
        <f t="shared" si="479"/>
        <v>0</v>
      </c>
    </row>
    <row r="3824" spans="1:38" hidden="1" x14ac:dyDescent="0.2">
      <c r="A3824" s="2">
        <v>2026</v>
      </c>
      <c r="B3824" s="2">
        <v>4</v>
      </c>
      <c r="D3824" s="2" t="s">
        <v>2883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8"/>
        <v>0</v>
      </c>
      <c r="Z3824" s="2" t="s">
        <v>3233</v>
      </c>
      <c r="AA3824" s="2" t="s">
        <v>97</v>
      </c>
      <c r="AB3824" s="2" t="s">
        <v>77</v>
      </c>
      <c r="AC3824" s="2" t="s">
        <v>94</v>
      </c>
      <c r="AF3824" s="2">
        <f t="shared" si="474"/>
        <v>0</v>
      </c>
      <c r="AJ3824" s="2">
        <f t="shared" si="475"/>
        <v>0</v>
      </c>
      <c r="AK3824" s="2">
        <f t="shared" si="472"/>
        <v>0</v>
      </c>
      <c r="AL3824" s="5">
        <f t="shared" si="479"/>
        <v>0</v>
      </c>
    </row>
    <row r="3825" spans="1:38" hidden="1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2901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8"/>
        <v>0</v>
      </c>
      <c r="Z3825" s="2" t="s">
        <v>3233</v>
      </c>
      <c r="AA3825" s="2" t="s">
        <v>97</v>
      </c>
      <c r="AB3825" s="2" t="s">
        <v>77</v>
      </c>
      <c r="AC3825" s="2" t="s">
        <v>94</v>
      </c>
      <c r="AF3825" s="2">
        <f t="shared" si="474"/>
        <v>0</v>
      </c>
      <c r="AG3825" s="2">
        <v>1.48</v>
      </c>
      <c r="AH3825" s="2">
        <v>1.48</v>
      </c>
      <c r="AJ3825" s="2">
        <f t="shared" si="475"/>
        <v>0</v>
      </c>
      <c r="AK3825" s="2">
        <f t="shared" si="472"/>
        <v>0</v>
      </c>
      <c r="AL3825" s="5">
        <f t="shared" si="479"/>
        <v>0</v>
      </c>
    </row>
    <row r="3826" spans="1:38" hidden="1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2879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80">SIGN(T3826)*((ABS(T3826)-W3826)/ABS(T3826))</f>
        <v>0</v>
      </c>
      <c r="Z3826" s="2" t="s">
        <v>3233</v>
      </c>
      <c r="AA3826" s="2" t="s">
        <v>97</v>
      </c>
      <c r="AB3826" s="2" t="s">
        <v>77</v>
      </c>
      <c r="AC3826" s="2" t="s">
        <v>94</v>
      </c>
      <c r="AF3826" s="2">
        <f t="shared" si="474"/>
        <v>0</v>
      </c>
      <c r="AJ3826" s="2">
        <f t="shared" si="475"/>
        <v>0</v>
      </c>
      <c r="AK3826" s="2">
        <f t="shared" ref="AK3826:AK3827" si="481">T3826+(W3826)</f>
        <v>0</v>
      </c>
      <c r="AL3826" s="18">
        <f t="shared" ref="AL3826:AL3827" si="482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1558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1559</v>
      </c>
      <c r="J3827" s="2" t="s">
        <v>1560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80"/>
        <v>0</v>
      </c>
      <c r="Z3827" s="2" t="s">
        <v>3233</v>
      </c>
      <c r="AA3827" s="2" t="s">
        <v>97</v>
      </c>
      <c r="AB3827" s="2" t="s">
        <v>77</v>
      </c>
      <c r="AC3827" s="2" t="s">
        <v>94</v>
      </c>
      <c r="AF3827" s="2">
        <f t="shared" si="474"/>
        <v>0</v>
      </c>
      <c r="AJ3827" s="2">
        <f t="shared" si="475"/>
        <v>0</v>
      </c>
      <c r="AK3827" s="2">
        <f t="shared" si="481"/>
        <v>0</v>
      </c>
      <c r="AL3827" s="18">
        <f t="shared" si="482"/>
        <v>0</v>
      </c>
    </row>
    <row r="3828" spans="1:38" hidden="1" x14ac:dyDescent="0.2">
      <c r="A3828" s="2">
        <v>2026</v>
      </c>
      <c r="B3828" s="2">
        <v>4</v>
      </c>
      <c r="D3828" s="2" t="s">
        <v>2886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3">(T3828-W3828)/T3828</f>
        <v>0</v>
      </c>
      <c r="Z3828" s="2" t="s">
        <v>3233</v>
      </c>
      <c r="AA3828" s="2" t="s">
        <v>97</v>
      </c>
      <c r="AB3828" s="2" t="s">
        <v>77</v>
      </c>
      <c r="AC3828" s="2" t="s">
        <v>94</v>
      </c>
      <c r="AF3828" s="2">
        <f t="shared" si="474"/>
        <v>0</v>
      </c>
      <c r="AJ3828" s="2">
        <f t="shared" si="475"/>
        <v>0</v>
      </c>
      <c r="AK3828" s="2">
        <f t="shared" si="472"/>
        <v>0</v>
      </c>
      <c r="AL3828" s="5">
        <f t="shared" si="479"/>
        <v>0</v>
      </c>
    </row>
    <row r="3829" spans="1:38" hidden="1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3"/>
        <v>0</v>
      </c>
      <c r="Z3829" s="2" t="s">
        <v>3233</v>
      </c>
      <c r="AA3829" s="2" t="s">
        <v>97</v>
      </c>
      <c r="AB3829" s="2" t="s">
        <v>77</v>
      </c>
      <c r="AC3829" s="2" t="s">
        <v>94</v>
      </c>
      <c r="AF3829" s="2">
        <f t="shared" si="474"/>
        <v>0</v>
      </c>
      <c r="AG3829" s="2">
        <v>1.48</v>
      </c>
      <c r="AH3829" s="2">
        <v>1.48</v>
      </c>
      <c r="AJ3829" s="2">
        <f t="shared" si="475"/>
        <v>0</v>
      </c>
      <c r="AK3829" s="2">
        <f t="shared" si="472"/>
        <v>0</v>
      </c>
      <c r="AL3829" s="5">
        <f t="shared" ref="AL3829:AL3844" si="484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3"/>
        <v>0</v>
      </c>
      <c r="Z3830" s="2" t="s">
        <v>3233</v>
      </c>
      <c r="AA3830" s="2" t="s">
        <v>97</v>
      </c>
      <c r="AB3830" s="2" t="s">
        <v>77</v>
      </c>
      <c r="AC3830" s="2" t="s">
        <v>94</v>
      </c>
      <c r="AF3830" s="2">
        <f t="shared" si="474"/>
        <v>0</v>
      </c>
      <c r="AJ3830" s="2">
        <f t="shared" si="475"/>
        <v>0</v>
      </c>
      <c r="AK3830" s="2">
        <f t="shared" ref="AK3830:AK3893" si="485">T3830-W3830</f>
        <v>0</v>
      </c>
      <c r="AL3830" s="5">
        <f t="shared" si="484"/>
        <v>0</v>
      </c>
    </row>
    <row r="3831" spans="1:38" hidden="1" x14ac:dyDescent="0.2">
      <c r="A3831" s="2">
        <v>2026</v>
      </c>
      <c r="B3831" s="2">
        <v>4</v>
      </c>
      <c r="D3831" s="2" t="s">
        <v>1259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3"/>
        <v>0</v>
      </c>
      <c r="Z3831" s="2" t="s">
        <v>3233</v>
      </c>
      <c r="AA3831" s="2" t="s">
        <v>97</v>
      </c>
      <c r="AB3831" s="2" t="s">
        <v>77</v>
      </c>
      <c r="AC3831" s="2" t="s">
        <v>94</v>
      </c>
      <c r="AF3831" s="2">
        <f t="shared" si="474"/>
        <v>0</v>
      </c>
      <c r="AJ3831" s="2">
        <f t="shared" si="475"/>
        <v>0</v>
      </c>
      <c r="AK3831" s="2">
        <f t="shared" si="485"/>
        <v>0</v>
      </c>
      <c r="AL3831" s="5">
        <f t="shared" si="484"/>
        <v>0</v>
      </c>
    </row>
    <row r="3832" spans="1:38" hidden="1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2890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3"/>
        <v>0</v>
      </c>
      <c r="Z3832" s="2" t="s">
        <v>3233</v>
      </c>
      <c r="AA3832" s="2" t="s">
        <v>97</v>
      </c>
      <c r="AB3832" s="2" t="s">
        <v>77</v>
      </c>
      <c r="AC3832" s="2" t="s">
        <v>94</v>
      </c>
      <c r="AF3832" s="2">
        <f t="shared" si="474"/>
        <v>0</v>
      </c>
      <c r="AG3832" s="2">
        <v>1.48</v>
      </c>
      <c r="AH3832" s="2">
        <v>1.48</v>
      </c>
      <c r="AJ3832" s="2">
        <f t="shared" si="475"/>
        <v>0</v>
      </c>
      <c r="AK3832" s="2">
        <f t="shared" si="485"/>
        <v>0</v>
      </c>
      <c r="AL3832" s="5">
        <f t="shared" si="484"/>
        <v>0</v>
      </c>
    </row>
    <row r="3833" spans="1:38" hidden="1" x14ac:dyDescent="0.2">
      <c r="A3833" s="2">
        <v>2026</v>
      </c>
      <c r="B3833" s="2">
        <v>4</v>
      </c>
      <c r="D3833" s="2" t="s">
        <v>2532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3"/>
        <v>0</v>
      </c>
      <c r="Z3833" s="2" t="s">
        <v>3233</v>
      </c>
      <c r="AA3833" s="2" t="s">
        <v>97</v>
      </c>
      <c r="AB3833" s="2" t="s">
        <v>77</v>
      </c>
      <c r="AC3833" s="2" t="s">
        <v>94</v>
      </c>
      <c r="AF3833" s="2">
        <f t="shared" si="474"/>
        <v>0</v>
      </c>
      <c r="AJ3833" s="2">
        <f t="shared" si="475"/>
        <v>0</v>
      </c>
      <c r="AK3833" s="2">
        <f t="shared" si="485"/>
        <v>0</v>
      </c>
      <c r="AL3833" s="5">
        <f t="shared" si="484"/>
        <v>0</v>
      </c>
    </row>
    <row r="3834" spans="1:38" hidden="1" x14ac:dyDescent="0.2">
      <c r="A3834" s="2">
        <v>2026</v>
      </c>
      <c r="B3834" s="2">
        <v>4</v>
      </c>
      <c r="D3834" s="2" t="s">
        <v>1422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1275</v>
      </c>
      <c r="J3834" s="2" t="s">
        <v>2400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3"/>
        <v>0</v>
      </c>
      <c r="Z3834" s="2" t="s">
        <v>3233</v>
      </c>
      <c r="AA3834" s="2" t="s">
        <v>97</v>
      </c>
      <c r="AB3834" s="2" t="s">
        <v>77</v>
      </c>
      <c r="AC3834" s="2" t="s">
        <v>94</v>
      </c>
      <c r="AF3834" s="2">
        <f t="shared" si="474"/>
        <v>0</v>
      </c>
      <c r="AJ3834" s="2">
        <f t="shared" si="475"/>
        <v>0</v>
      </c>
      <c r="AK3834" s="2">
        <f t="shared" si="485"/>
        <v>0</v>
      </c>
      <c r="AL3834" s="5">
        <f t="shared" si="484"/>
        <v>0</v>
      </c>
    </row>
    <row r="3835" spans="1:38" hidden="1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2882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3"/>
        <v>0</v>
      </c>
      <c r="Z3835" s="2" t="s">
        <v>3233</v>
      </c>
      <c r="AA3835" s="2" t="s">
        <v>97</v>
      </c>
      <c r="AB3835" s="2" t="s">
        <v>77</v>
      </c>
      <c r="AC3835" s="2" t="s">
        <v>94</v>
      </c>
      <c r="AF3835" s="2">
        <f t="shared" si="474"/>
        <v>0</v>
      </c>
      <c r="AG3835" s="2">
        <v>1.48</v>
      </c>
      <c r="AH3835" s="2">
        <v>1.48</v>
      </c>
      <c r="AJ3835" s="2">
        <f t="shared" si="475"/>
        <v>0</v>
      </c>
      <c r="AK3835" s="2">
        <f t="shared" si="485"/>
        <v>0</v>
      </c>
      <c r="AL3835" s="5">
        <f t="shared" si="484"/>
        <v>0</v>
      </c>
    </row>
    <row r="3836" spans="1:38" hidden="1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3"/>
        <v>0</v>
      </c>
      <c r="Z3836" s="2" t="s">
        <v>3233</v>
      </c>
      <c r="AA3836" s="2" t="s">
        <v>97</v>
      </c>
      <c r="AB3836" s="2" t="s">
        <v>77</v>
      </c>
      <c r="AC3836" s="2" t="s">
        <v>94</v>
      </c>
      <c r="AF3836" s="2">
        <f t="shared" si="474"/>
        <v>0</v>
      </c>
      <c r="AJ3836" s="2">
        <f t="shared" si="475"/>
        <v>0</v>
      </c>
      <c r="AK3836" s="2">
        <f t="shared" si="485"/>
        <v>0</v>
      </c>
      <c r="AL3836" s="5">
        <f t="shared" si="484"/>
        <v>0</v>
      </c>
    </row>
    <row r="3837" spans="1:38" hidden="1" x14ac:dyDescent="0.2">
      <c r="A3837" s="2">
        <v>2026</v>
      </c>
      <c r="B3837" s="2">
        <v>4</v>
      </c>
      <c r="D3837" s="2" t="s">
        <v>2565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3"/>
        <v>0</v>
      </c>
      <c r="Z3837" s="2" t="s">
        <v>3233</v>
      </c>
      <c r="AA3837" s="2" t="s">
        <v>97</v>
      </c>
      <c r="AB3837" s="2" t="s">
        <v>77</v>
      </c>
      <c r="AC3837" s="2" t="s">
        <v>94</v>
      </c>
      <c r="AF3837" s="2">
        <f t="shared" si="474"/>
        <v>0</v>
      </c>
      <c r="AJ3837" s="2">
        <f t="shared" si="475"/>
        <v>0</v>
      </c>
      <c r="AK3837" s="2">
        <f t="shared" si="485"/>
        <v>0</v>
      </c>
      <c r="AL3837" s="5">
        <f t="shared" si="484"/>
        <v>0</v>
      </c>
    </row>
    <row r="3838" spans="1:38" hidden="1" x14ac:dyDescent="0.2">
      <c r="A3838" s="2">
        <v>2026</v>
      </c>
      <c r="B3838" s="2">
        <v>4</v>
      </c>
      <c r="D3838" s="2" t="s">
        <v>1298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1299</v>
      </c>
      <c r="L3838" s="2" t="s">
        <v>340</v>
      </c>
      <c r="M3838" s="2" t="s">
        <v>81</v>
      </c>
      <c r="O3838" s="2" t="s">
        <v>2917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3"/>
        <v>0</v>
      </c>
      <c r="Z3838" s="2" t="s">
        <v>3233</v>
      </c>
      <c r="AA3838" s="2" t="s">
        <v>97</v>
      </c>
      <c r="AB3838" s="2" t="s">
        <v>77</v>
      </c>
      <c r="AC3838" s="2" t="s">
        <v>94</v>
      </c>
      <c r="AF3838" s="2">
        <f t="shared" si="474"/>
        <v>0</v>
      </c>
      <c r="AG3838" s="2">
        <v>1.48</v>
      </c>
      <c r="AH3838" s="2">
        <v>1.48</v>
      </c>
      <c r="AJ3838" s="2">
        <f t="shared" si="475"/>
        <v>0</v>
      </c>
      <c r="AK3838" s="2">
        <f t="shared" si="485"/>
        <v>0</v>
      </c>
      <c r="AL3838" s="5">
        <f t="shared" si="484"/>
        <v>0</v>
      </c>
    </row>
    <row r="3839" spans="1:38" hidden="1" x14ac:dyDescent="0.2">
      <c r="A3839" s="2">
        <v>2026</v>
      </c>
      <c r="B3839" s="2">
        <v>4</v>
      </c>
      <c r="D3839" s="2" t="s">
        <v>1961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3"/>
        <v>0</v>
      </c>
      <c r="Z3839" s="2" t="s">
        <v>3233</v>
      </c>
      <c r="AA3839" s="2" t="s">
        <v>97</v>
      </c>
      <c r="AB3839" s="2" t="s">
        <v>77</v>
      </c>
      <c r="AC3839" s="2" t="s">
        <v>94</v>
      </c>
      <c r="AF3839" s="2">
        <f t="shared" si="474"/>
        <v>0</v>
      </c>
      <c r="AJ3839" s="2">
        <f t="shared" si="475"/>
        <v>0</v>
      </c>
      <c r="AK3839" s="2">
        <f t="shared" si="485"/>
        <v>0</v>
      </c>
      <c r="AL3839" s="5">
        <f t="shared" si="484"/>
        <v>0</v>
      </c>
    </row>
    <row r="3840" spans="1:38" hidden="1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2909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4"/>
        <v>0</v>
      </c>
      <c r="AJ3840" s="2">
        <f t="shared" si="475"/>
        <v>0</v>
      </c>
      <c r="AK3840" s="2">
        <f t="shared" si="485"/>
        <v>0</v>
      </c>
      <c r="AL3840" s="5" t="e">
        <f t="shared" si="484"/>
        <v>#DIV/0!</v>
      </c>
    </row>
    <row r="3841" spans="1:38" hidden="1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3388</v>
      </c>
      <c r="AF3841" s="2">
        <f t="shared" si="474"/>
        <v>0</v>
      </c>
      <c r="AJ3841" s="2">
        <f t="shared" si="475"/>
        <v>0</v>
      </c>
      <c r="AK3841" s="2">
        <f t="shared" si="485"/>
        <v>72.37</v>
      </c>
      <c r="AL3841" s="5">
        <f t="shared" si="484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2918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3233</v>
      </c>
      <c r="AA3842" s="2" t="s">
        <v>120</v>
      </c>
      <c r="AF3842" s="2">
        <f t="shared" si="474"/>
        <v>0</v>
      </c>
      <c r="AJ3842" s="2">
        <f t="shared" si="475"/>
        <v>0</v>
      </c>
      <c r="AK3842" s="2">
        <f t="shared" si="485"/>
        <v>286.36</v>
      </c>
      <c r="AL3842" s="5">
        <f t="shared" si="484"/>
        <v>1</v>
      </c>
    </row>
    <row r="3843" spans="1:38" hidden="1" x14ac:dyDescent="0.2">
      <c r="A3843" s="2">
        <v>2026</v>
      </c>
      <c r="B3843" s="2">
        <v>4</v>
      </c>
      <c r="D3843" s="2" t="s">
        <v>2914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3388</v>
      </c>
      <c r="AF3843" s="2">
        <f t="shared" ref="AF3843:AF3906" si="486">AJ3843</f>
        <v>0</v>
      </c>
      <c r="AJ3843" s="2">
        <f t="shared" ref="AJ3843:AJ3906" si="487">AI3843*T3843</f>
        <v>0</v>
      </c>
      <c r="AK3843" s="2">
        <f t="shared" si="485"/>
        <v>75.25</v>
      </c>
      <c r="AL3843" s="5">
        <f t="shared" si="484"/>
        <v>1</v>
      </c>
    </row>
    <row r="3844" spans="1:38" hidden="1" x14ac:dyDescent="0.2">
      <c r="A3844" s="2">
        <v>2026</v>
      </c>
      <c r="B3844" s="2">
        <v>5</v>
      </c>
      <c r="C3844" s="2" t="s">
        <v>3378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1946</v>
      </c>
      <c r="R3844" s="2" t="s">
        <v>1947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3233</v>
      </c>
      <c r="AA3844" s="2" t="s">
        <v>156</v>
      </c>
      <c r="AB3844" s="2" t="s">
        <v>1947</v>
      </c>
      <c r="AC3844" s="2" t="s">
        <v>153</v>
      </c>
      <c r="AF3844" s="2">
        <f t="shared" si="486"/>
        <v>0</v>
      </c>
      <c r="AJ3844" s="2">
        <f t="shared" si="487"/>
        <v>0</v>
      </c>
      <c r="AK3844" s="2">
        <f t="shared" si="485"/>
        <v>8.4</v>
      </c>
      <c r="AL3844" s="5">
        <f t="shared" si="484"/>
        <v>0.42000000000000004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3233</v>
      </c>
      <c r="AA3845" s="2" t="s">
        <v>46</v>
      </c>
      <c r="AB3845" s="2" t="s">
        <v>47</v>
      </c>
      <c r="AC3845" s="2" t="s">
        <v>48</v>
      </c>
      <c r="AF3845" s="2">
        <f t="shared" si="486"/>
        <v>0</v>
      </c>
      <c r="AG3845" s="2">
        <v>6.6266999999999996</v>
      </c>
      <c r="AH3845" s="2">
        <v>12</v>
      </c>
      <c r="AJ3845" s="2">
        <f t="shared" si="487"/>
        <v>0</v>
      </c>
      <c r="AK3845" s="2">
        <f t="shared" si="485"/>
        <v>-6.6266999999999996</v>
      </c>
      <c r="AL3845" s="18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8">(T3846-W3846)/T3846</f>
        <v>0.24822695035460993</v>
      </c>
      <c r="Z3846" s="2" t="s">
        <v>3233</v>
      </c>
      <c r="AA3846" s="2" t="s">
        <v>46</v>
      </c>
      <c r="AB3846" s="2" t="s">
        <v>57</v>
      </c>
      <c r="AC3846" s="2" t="s">
        <v>58</v>
      </c>
      <c r="AF3846" s="2">
        <f t="shared" si="486"/>
        <v>0</v>
      </c>
      <c r="AG3846" s="2">
        <v>10.6</v>
      </c>
      <c r="AH3846" s="2">
        <v>18</v>
      </c>
      <c r="AJ3846" s="2">
        <f t="shared" si="487"/>
        <v>0</v>
      </c>
      <c r="AK3846" s="2">
        <f t="shared" si="485"/>
        <v>17.5</v>
      </c>
      <c r="AL3846" s="5">
        <f t="shared" ref="AL3846:AL3877" si="489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8"/>
        <v>0.30212765957446802</v>
      </c>
      <c r="Z3847" s="2" t="s">
        <v>3233</v>
      </c>
      <c r="AA3847" s="2" t="s">
        <v>46</v>
      </c>
      <c r="AB3847" s="2" t="s">
        <v>61</v>
      </c>
      <c r="AC3847" s="2" t="s">
        <v>58</v>
      </c>
      <c r="AF3847" s="2">
        <f t="shared" si="486"/>
        <v>0</v>
      </c>
      <c r="AG3847" s="2">
        <v>8.1999999999999993</v>
      </c>
      <c r="AH3847" s="2">
        <v>13</v>
      </c>
      <c r="AJ3847" s="2">
        <f t="shared" si="487"/>
        <v>0</v>
      </c>
      <c r="AK3847" s="2">
        <f t="shared" si="485"/>
        <v>14.199999999999996</v>
      </c>
      <c r="AL3847" s="5">
        <f t="shared" si="489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8"/>
        <v>0.5243888888888889</v>
      </c>
      <c r="Z3848" s="2" t="s">
        <v>3233</v>
      </c>
      <c r="AA3848" s="2" t="s">
        <v>46</v>
      </c>
      <c r="AB3848" s="2" t="s">
        <v>61</v>
      </c>
      <c r="AC3848" s="2" t="s">
        <v>58</v>
      </c>
      <c r="AF3848" s="2">
        <f t="shared" si="486"/>
        <v>0</v>
      </c>
      <c r="AG3848" s="2">
        <v>0.85609999999999997</v>
      </c>
      <c r="AH3848" s="2">
        <v>1.8</v>
      </c>
      <c r="AJ3848" s="2">
        <f t="shared" si="487"/>
        <v>0</v>
      </c>
      <c r="AK3848" s="2">
        <f t="shared" si="485"/>
        <v>18.878</v>
      </c>
      <c r="AL3848" s="5">
        <f t="shared" si="489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8"/>
        <v>0.62926666666666664</v>
      </c>
      <c r="Z3849" s="2" t="s">
        <v>3233</v>
      </c>
      <c r="AA3849" s="2" t="s">
        <v>46</v>
      </c>
      <c r="AB3849" s="2" t="s">
        <v>61</v>
      </c>
      <c r="AC3849" s="2" t="s">
        <v>58</v>
      </c>
      <c r="AF3849" s="2">
        <f t="shared" si="486"/>
        <v>0</v>
      </c>
      <c r="AG3849" s="2">
        <v>1.1122000000000001</v>
      </c>
      <c r="AH3849" s="2">
        <v>3</v>
      </c>
      <c r="AJ3849" s="2">
        <f t="shared" si="487"/>
        <v>0</v>
      </c>
      <c r="AK3849" s="2">
        <f t="shared" si="485"/>
        <v>32.092599999999997</v>
      </c>
      <c r="AL3849" s="5">
        <f t="shared" si="489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8"/>
        <v>0.35396559139784944</v>
      </c>
      <c r="Z3850" s="2" t="s">
        <v>3233</v>
      </c>
      <c r="AA3850" s="2" t="s">
        <v>46</v>
      </c>
      <c r="AB3850" s="2" t="s">
        <v>68</v>
      </c>
      <c r="AC3850" s="2" t="s">
        <v>58</v>
      </c>
      <c r="AF3850" s="2">
        <f t="shared" si="486"/>
        <v>0</v>
      </c>
      <c r="AG3850" s="2">
        <v>15.020300000000001</v>
      </c>
      <c r="AH3850" s="2">
        <v>27.6</v>
      </c>
      <c r="AJ3850" s="2">
        <f t="shared" si="487"/>
        <v>0</v>
      </c>
      <c r="AK3850" s="2">
        <f t="shared" si="485"/>
        <v>32.918799999999997</v>
      </c>
      <c r="AL3850" s="5">
        <f t="shared" si="489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2919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8"/>
        <v>0.47936318238081005</v>
      </c>
      <c r="Z3851" s="2" t="s">
        <v>3233</v>
      </c>
      <c r="AA3851" s="2" t="s">
        <v>76</v>
      </c>
      <c r="AB3851" s="2" t="s">
        <v>77</v>
      </c>
      <c r="AC3851" s="2" t="s">
        <v>78</v>
      </c>
      <c r="AF3851" s="2">
        <f t="shared" si="486"/>
        <v>0</v>
      </c>
      <c r="AJ3851" s="2">
        <f t="shared" si="487"/>
        <v>0</v>
      </c>
      <c r="AK3851" s="2">
        <f t="shared" si="485"/>
        <v>112.30999999999999</v>
      </c>
      <c r="AL3851" s="5">
        <f t="shared" si="489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2920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8"/>
        <v>0.46581160100729863</v>
      </c>
      <c r="Z3852" s="2" t="s">
        <v>3233</v>
      </c>
      <c r="AA3852" s="2" t="s">
        <v>76</v>
      </c>
      <c r="AB3852" s="2" t="s">
        <v>77</v>
      </c>
      <c r="AC3852" s="2" t="s">
        <v>78</v>
      </c>
      <c r="AF3852" s="2">
        <f t="shared" si="486"/>
        <v>0</v>
      </c>
      <c r="AJ3852" s="2">
        <f t="shared" si="487"/>
        <v>0</v>
      </c>
      <c r="AK3852" s="2">
        <f t="shared" si="485"/>
        <v>109.13499999999999</v>
      </c>
      <c r="AL3852" s="5">
        <f t="shared" si="489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2921</v>
      </c>
      <c r="P3853" s="2" t="s">
        <v>73</v>
      </c>
      <c r="Q3853" s="2" t="s">
        <v>1452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8"/>
        <v>0.12538571428571429</v>
      </c>
      <c r="Z3853" s="2" t="s">
        <v>3233</v>
      </c>
      <c r="AA3853" s="2" t="s">
        <v>76</v>
      </c>
      <c r="AB3853" s="2" t="s">
        <v>77</v>
      </c>
      <c r="AC3853" s="2" t="s">
        <v>78</v>
      </c>
      <c r="AF3853" s="2">
        <f t="shared" si="486"/>
        <v>0</v>
      </c>
      <c r="AG3853" s="2">
        <v>122.446</v>
      </c>
      <c r="AH3853" s="2">
        <v>230</v>
      </c>
      <c r="AJ3853" s="2">
        <f t="shared" si="487"/>
        <v>0</v>
      </c>
      <c r="AK3853" s="2">
        <f t="shared" si="485"/>
        <v>17.554000000000002</v>
      </c>
      <c r="AL3853" s="5">
        <f t="shared" si="489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1381</v>
      </c>
      <c r="Q3854" s="2" t="s">
        <v>2922</v>
      </c>
      <c r="R3854" s="2" t="s">
        <v>2923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8"/>
        <v>1</v>
      </c>
      <c r="Z3854" s="2" t="s">
        <v>3233</v>
      </c>
      <c r="AA3854" s="2" t="s">
        <v>1043</v>
      </c>
      <c r="AB3854" s="2" t="s">
        <v>1273</v>
      </c>
      <c r="AC3854" s="2" t="s">
        <v>1381</v>
      </c>
      <c r="AF3854" s="2">
        <f t="shared" si="486"/>
        <v>0</v>
      </c>
      <c r="AJ3854" s="2">
        <f t="shared" si="487"/>
        <v>0</v>
      </c>
      <c r="AK3854" s="2">
        <f t="shared" si="485"/>
        <v>479.67</v>
      </c>
      <c r="AL3854" s="5">
        <f t="shared" si="489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2924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8"/>
        <v>2.000401846171453E-16</v>
      </c>
      <c r="Z3855" s="2" t="s">
        <v>3233</v>
      </c>
      <c r="AA3855" s="2" t="s">
        <v>97</v>
      </c>
      <c r="AB3855" s="2" t="s">
        <v>77</v>
      </c>
      <c r="AC3855" s="2" t="s">
        <v>94</v>
      </c>
      <c r="AF3855" s="2">
        <f t="shared" si="486"/>
        <v>0</v>
      </c>
      <c r="AJ3855" s="2">
        <f t="shared" si="487"/>
        <v>0</v>
      </c>
      <c r="AK3855" s="2">
        <f t="shared" si="485"/>
        <v>0</v>
      </c>
      <c r="AL3855" s="5">
        <f t="shared" si="489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2925</v>
      </c>
      <c r="R3856" s="2" t="s">
        <v>2926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8"/>
        <v>1</v>
      </c>
      <c r="Z3856" s="2" t="s">
        <v>120</v>
      </c>
      <c r="AA3856" s="2" t="s">
        <v>2927</v>
      </c>
      <c r="AF3856" s="2">
        <f t="shared" si="486"/>
        <v>0</v>
      </c>
      <c r="AJ3856" s="2">
        <f t="shared" si="487"/>
        <v>0</v>
      </c>
      <c r="AK3856" s="2">
        <f t="shared" si="485"/>
        <v>200</v>
      </c>
      <c r="AL3856" s="5">
        <f t="shared" si="489"/>
        <v>1</v>
      </c>
    </row>
    <row r="3857" spans="1:38" hidden="1" x14ac:dyDescent="0.2">
      <c r="A3857" s="2">
        <v>2026</v>
      </c>
      <c r="B3857" s="2">
        <v>5</v>
      </c>
      <c r="D3857" s="2" t="s">
        <v>1327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8"/>
        <v>0.41111111111111115</v>
      </c>
      <c r="Z3857" s="2" t="s">
        <v>3233</v>
      </c>
      <c r="AA3857" s="2" t="s">
        <v>46</v>
      </c>
      <c r="AB3857" s="2" t="s">
        <v>57</v>
      </c>
      <c r="AC3857" s="2" t="s">
        <v>58</v>
      </c>
      <c r="AF3857" s="2">
        <f t="shared" si="486"/>
        <v>0</v>
      </c>
      <c r="AG3857" s="2">
        <v>10.6</v>
      </c>
      <c r="AH3857" s="2">
        <v>18</v>
      </c>
      <c r="AJ3857" s="2">
        <f t="shared" si="487"/>
        <v>0</v>
      </c>
      <c r="AK3857" s="2">
        <f t="shared" si="485"/>
        <v>14.8</v>
      </c>
      <c r="AL3857" s="5">
        <f t="shared" si="489"/>
        <v>0.41111111111111115</v>
      </c>
    </row>
    <row r="3858" spans="1:38" hidden="1" x14ac:dyDescent="0.2">
      <c r="A3858" s="2">
        <v>2026</v>
      </c>
      <c r="B3858" s="2">
        <v>5</v>
      </c>
      <c r="C3858" s="2" t="s">
        <v>3378</v>
      </c>
      <c r="D3858" s="2" t="s">
        <v>1327</v>
      </c>
      <c r="E3858" s="2" t="s">
        <v>38</v>
      </c>
      <c r="F3858" s="2" t="s">
        <v>39</v>
      </c>
      <c r="H3858" s="2" t="s">
        <v>41</v>
      </c>
      <c r="I3858" s="2" t="s">
        <v>3377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8"/>
        <v>0.58173666666666668</v>
      </c>
      <c r="Z3858" s="2" t="s">
        <v>3233</v>
      </c>
      <c r="AA3858" s="2" t="s">
        <v>46</v>
      </c>
      <c r="AB3858" s="2" t="s">
        <v>91</v>
      </c>
      <c r="AC3858" s="2" t="s">
        <v>58</v>
      </c>
      <c r="AF3858" s="2">
        <f t="shared" si="486"/>
        <v>0</v>
      </c>
      <c r="AJ3858" s="2">
        <f t="shared" si="487"/>
        <v>0</v>
      </c>
      <c r="AK3858" s="2">
        <f t="shared" si="485"/>
        <v>34.904200000000003</v>
      </c>
      <c r="AL3858" s="5">
        <f t="shared" si="489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2928</v>
      </c>
      <c r="P3859" s="2" t="s">
        <v>283</v>
      </c>
      <c r="Q3859" s="2" t="s">
        <v>2130</v>
      </c>
      <c r="R3859" s="2" t="s">
        <v>2131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8"/>
        <v>0.39115929941618016</v>
      </c>
      <c r="Z3859" s="2" t="s">
        <v>3233</v>
      </c>
      <c r="AA3859" s="2" t="s">
        <v>72</v>
      </c>
      <c r="AB3859" s="2" t="s">
        <v>1605</v>
      </c>
      <c r="AC3859" s="2" t="s">
        <v>1605</v>
      </c>
      <c r="AF3859" s="2">
        <f t="shared" si="486"/>
        <v>0</v>
      </c>
      <c r="AG3859" s="2">
        <v>73</v>
      </c>
      <c r="AJ3859" s="2">
        <f t="shared" si="487"/>
        <v>0</v>
      </c>
      <c r="AK3859" s="2">
        <f t="shared" si="485"/>
        <v>46.900000000000006</v>
      </c>
      <c r="AL3859" s="5">
        <f t="shared" si="489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2928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8"/>
        <v>0.34958766583004658</v>
      </c>
      <c r="Z3860" s="2" t="s">
        <v>3233</v>
      </c>
      <c r="AA3860" s="2" t="s">
        <v>72</v>
      </c>
      <c r="AB3860" s="2" t="s">
        <v>120</v>
      </c>
      <c r="AC3860" s="2" t="s">
        <v>120</v>
      </c>
      <c r="AF3860" s="2">
        <f t="shared" si="486"/>
        <v>0</v>
      </c>
      <c r="AG3860" s="2">
        <v>18.14</v>
      </c>
      <c r="AJ3860" s="2">
        <f t="shared" si="487"/>
        <v>0</v>
      </c>
      <c r="AK3860" s="2">
        <f t="shared" si="485"/>
        <v>9.75</v>
      </c>
      <c r="AL3860" s="5">
        <f t="shared" si="489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2928</v>
      </c>
      <c r="P3861" s="2" t="s">
        <v>43</v>
      </c>
      <c r="Q3861" s="2" t="s">
        <v>2929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8"/>
        <v>0.51574074074074072</v>
      </c>
      <c r="Z3861" s="2" t="s">
        <v>3233</v>
      </c>
      <c r="AA3861" s="2" t="s">
        <v>46</v>
      </c>
      <c r="AB3861" s="2" t="s">
        <v>91</v>
      </c>
      <c r="AC3861" s="2" t="s">
        <v>58</v>
      </c>
      <c r="AF3861" s="2">
        <f t="shared" si="486"/>
        <v>0</v>
      </c>
      <c r="AG3861" s="2">
        <v>5.23</v>
      </c>
      <c r="AH3861" s="2">
        <v>10.8</v>
      </c>
      <c r="AJ3861" s="2">
        <f t="shared" si="487"/>
        <v>0</v>
      </c>
      <c r="AK3861" s="2">
        <f t="shared" si="485"/>
        <v>5.57</v>
      </c>
      <c r="AL3861" s="5">
        <f t="shared" si="489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2928</v>
      </c>
      <c r="P3862" s="2" t="s">
        <v>43</v>
      </c>
      <c r="Q3862" s="2" t="s">
        <v>2930</v>
      </c>
      <c r="R3862" s="2" t="s">
        <v>2931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8"/>
        <v>0.73055555555555551</v>
      </c>
      <c r="Z3862" s="2" t="s">
        <v>3233</v>
      </c>
      <c r="AA3862" s="2" t="s">
        <v>46</v>
      </c>
      <c r="AB3862" s="2" t="s">
        <v>91</v>
      </c>
      <c r="AC3862" s="2" t="s">
        <v>58</v>
      </c>
      <c r="AF3862" s="2">
        <f t="shared" si="486"/>
        <v>0</v>
      </c>
      <c r="AG3862" s="2">
        <v>0.97</v>
      </c>
      <c r="AH3862" s="2">
        <v>6</v>
      </c>
      <c r="AJ3862" s="2">
        <f t="shared" si="487"/>
        <v>0</v>
      </c>
      <c r="AK3862" s="2">
        <f t="shared" si="485"/>
        <v>10.52</v>
      </c>
      <c r="AL3862" s="5">
        <f t="shared" si="489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2928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8"/>
        <v>0.53121428571428575</v>
      </c>
      <c r="Z3863" s="2" t="s">
        <v>3233</v>
      </c>
      <c r="AA3863" s="2" t="s">
        <v>46</v>
      </c>
      <c r="AB3863" s="2" t="s">
        <v>57</v>
      </c>
      <c r="AC3863" s="2" t="s">
        <v>58</v>
      </c>
      <c r="AF3863" s="2">
        <f t="shared" si="486"/>
        <v>0</v>
      </c>
      <c r="AG3863" s="2">
        <v>5.9066999999999998</v>
      </c>
      <c r="AH3863" s="2">
        <v>12.6</v>
      </c>
      <c r="AJ3863" s="2">
        <f t="shared" si="487"/>
        <v>0</v>
      </c>
      <c r="AK3863" s="2">
        <f t="shared" si="485"/>
        <v>6.6932999999999998</v>
      </c>
      <c r="AL3863" s="5">
        <f t="shared" si="489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2928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8"/>
        <v>0.49849305555555556</v>
      </c>
      <c r="Z3864" s="2" t="s">
        <v>3233</v>
      </c>
      <c r="AA3864" s="2" t="s">
        <v>46</v>
      </c>
      <c r="AB3864" s="2" t="s">
        <v>57</v>
      </c>
      <c r="AC3864" s="2" t="s">
        <v>58</v>
      </c>
      <c r="AF3864" s="2">
        <f t="shared" si="486"/>
        <v>0</v>
      </c>
      <c r="AG3864" s="2">
        <v>7.2217000000000002</v>
      </c>
      <c r="AH3864" s="2">
        <v>14.4</v>
      </c>
      <c r="AJ3864" s="2">
        <f t="shared" si="487"/>
        <v>0</v>
      </c>
      <c r="AK3864" s="2">
        <f t="shared" si="485"/>
        <v>7.1783000000000001</v>
      </c>
      <c r="AL3864" s="5">
        <f t="shared" si="489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2928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8"/>
        <v>0.47844827586206895</v>
      </c>
      <c r="Z3865" s="2" t="s">
        <v>3233</v>
      </c>
      <c r="AA3865" s="2" t="s">
        <v>46</v>
      </c>
      <c r="AB3865" s="2" t="s">
        <v>57</v>
      </c>
      <c r="AC3865" s="2" t="s">
        <v>58</v>
      </c>
      <c r="AF3865" s="2">
        <f t="shared" si="486"/>
        <v>0</v>
      </c>
      <c r="AJ3865" s="2">
        <f t="shared" si="487"/>
        <v>0</v>
      </c>
      <c r="AK3865" s="2">
        <f t="shared" si="485"/>
        <v>8.3249999999999993</v>
      </c>
      <c r="AL3865" s="5">
        <f t="shared" si="489"/>
        <v>0.47844827586206895</v>
      </c>
    </row>
    <row r="3866" spans="1:38" hidden="1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2928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8"/>
        <v>1</v>
      </c>
      <c r="Z3866" s="2" t="s">
        <v>3233</v>
      </c>
      <c r="AA3866" s="2" t="s">
        <v>46</v>
      </c>
      <c r="AB3866" s="2" t="s">
        <v>57</v>
      </c>
      <c r="AC3866" s="2" t="s">
        <v>58</v>
      </c>
      <c r="AF3866" s="2">
        <f t="shared" si="486"/>
        <v>0</v>
      </c>
      <c r="AJ3866" s="2">
        <f t="shared" si="487"/>
        <v>0</v>
      </c>
      <c r="AK3866" s="2">
        <f t="shared" si="485"/>
        <v>21</v>
      </c>
      <c r="AL3866" s="5">
        <f t="shared" si="489"/>
        <v>1</v>
      </c>
    </row>
    <row r="3867" spans="1:38" hidden="1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2928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8"/>
        <v>1</v>
      </c>
      <c r="Z3867" s="2" t="s">
        <v>3233</v>
      </c>
      <c r="AA3867" s="2" t="s">
        <v>46</v>
      </c>
      <c r="AB3867" s="2" t="s">
        <v>57</v>
      </c>
      <c r="AC3867" s="2" t="s">
        <v>58</v>
      </c>
      <c r="AF3867" s="2">
        <f t="shared" si="486"/>
        <v>0</v>
      </c>
      <c r="AJ3867" s="2">
        <f t="shared" si="487"/>
        <v>0</v>
      </c>
      <c r="AK3867" s="2">
        <f t="shared" si="485"/>
        <v>25.2</v>
      </c>
      <c r="AL3867" s="5">
        <f t="shared" si="489"/>
        <v>1</v>
      </c>
    </row>
    <row r="3868" spans="1:38" hidden="1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2928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8"/>
        <v>1</v>
      </c>
      <c r="Z3868" s="2" t="s">
        <v>3233</v>
      </c>
      <c r="AA3868" s="2" t="s">
        <v>46</v>
      </c>
      <c r="AB3868" s="2" t="s">
        <v>57</v>
      </c>
      <c r="AC3868" s="2" t="s">
        <v>58</v>
      </c>
      <c r="AF3868" s="2">
        <f t="shared" si="486"/>
        <v>0</v>
      </c>
      <c r="AJ3868" s="2">
        <f t="shared" si="487"/>
        <v>0</v>
      </c>
      <c r="AK3868" s="2">
        <f t="shared" si="485"/>
        <v>30</v>
      </c>
      <c r="AL3868" s="5">
        <f t="shared" si="489"/>
        <v>1</v>
      </c>
    </row>
    <row r="3869" spans="1:38" hidden="1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2928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8"/>
        <v>1</v>
      </c>
      <c r="Z3869" s="2" t="s">
        <v>3233</v>
      </c>
      <c r="AA3869" s="2" t="s">
        <v>46</v>
      </c>
      <c r="AB3869" s="2" t="s">
        <v>57</v>
      </c>
      <c r="AC3869" s="2" t="s">
        <v>58</v>
      </c>
      <c r="AF3869" s="2">
        <f t="shared" si="486"/>
        <v>0</v>
      </c>
      <c r="AJ3869" s="2">
        <f t="shared" si="487"/>
        <v>0</v>
      </c>
      <c r="AK3869" s="2">
        <f t="shared" si="485"/>
        <v>18</v>
      </c>
      <c r="AL3869" s="5">
        <f t="shared" si="489"/>
        <v>1</v>
      </c>
    </row>
    <row r="3870" spans="1:38" hidden="1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2928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8"/>
        <v>1</v>
      </c>
      <c r="Z3870" s="2" t="s">
        <v>3233</v>
      </c>
      <c r="AA3870" s="2" t="s">
        <v>46</v>
      </c>
      <c r="AB3870" s="2" t="s">
        <v>57</v>
      </c>
      <c r="AC3870" s="2" t="s">
        <v>58</v>
      </c>
      <c r="AF3870" s="2">
        <f t="shared" si="486"/>
        <v>0</v>
      </c>
      <c r="AJ3870" s="2">
        <f t="shared" si="487"/>
        <v>0</v>
      </c>
      <c r="AK3870" s="2">
        <f t="shared" si="485"/>
        <v>19.8</v>
      </c>
      <c r="AL3870" s="5">
        <f t="shared" si="489"/>
        <v>1</v>
      </c>
    </row>
    <row r="3871" spans="1:38" hidden="1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2928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8"/>
        <v>1</v>
      </c>
      <c r="Z3871" s="2" t="s">
        <v>3233</v>
      </c>
      <c r="AA3871" s="2" t="s">
        <v>46</v>
      </c>
      <c r="AB3871" s="2" t="s">
        <v>57</v>
      </c>
      <c r="AC3871" s="2" t="s">
        <v>58</v>
      </c>
      <c r="AF3871" s="2">
        <f t="shared" si="486"/>
        <v>0</v>
      </c>
      <c r="AJ3871" s="2">
        <f t="shared" si="487"/>
        <v>0</v>
      </c>
      <c r="AK3871" s="2">
        <f t="shared" si="485"/>
        <v>22.8</v>
      </c>
      <c r="AL3871" s="5">
        <f t="shared" si="489"/>
        <v>1</v>
      </c>
    </row>
    <row r="3872" spans="1:38" hidden="1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2928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8"/>
        <v>0.47041666666666665</v>
      </c>
      <c r="Z3872" s="2" t="s">
        <v>3233</v>
      </c>
      <c r="AA3872" s="2" t="s">
        <v>46</v>
      </c>
      <c r="AB3872" s="2" t="s">
        <v>57</v>
      </c>
      <c r="AC3872" s="2" t="s">
        <v>58</v>
      </c>
      <c r="AF3872" s="2">
        <f t="shared" si="486"/>
        <v>0</v>
      </c>
      <c r="AJ3872" s="2">
        <f t="shared" si="487"/>
        <v>0</v>
      </c>
      <c r="AK3872" s="2">
        <f t="shared" si="485"/>
        <v>11.29</v>
      </c>
      <c r="AL3872" s="5">
        <f t="shared" si="489"/>
        <v>0.47041666666666665</v>
      </c>
    </row>
    <row r="3873" spans="1:38" hidden="1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2928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8"/>
        <v>0.26896551724137929</v>
      </c>
      <c r="Z3873" s="2" t="s">
        <v>3233</v>
      </c>
      <c r="AA3873" s="2" t="s">
        <v>46</v>
      </c>
      <c r="AB3873" s="2" t="s">
        <v>57</v>
      </c>
      <c r="AC3873" s="2" t="s">
        <v>58</v>
      </c>
      <c r="AF3873" s="2">
        <f t="shared" si="486"/>
        <v>0</v>
      </c>
      <c r="AG3873" s="2">
        <v>10.6</v>
      </c>
      <c r="AH3873" s="2">
        <v>18</v>
      </c>
      <c r="AJ3873" s="2">
        <f t="shared" si="487"/>
        <v>0</v>
      </c>
      <c r="AK3873" s="2">
        <f t="shared" si="485"/>
        <v>39</v>
      </c>
      <c r="AL3873" s="5">
        <f t="shared" si="489"/>
        <v>0.26896551724137929</v>
      </c>
    </row>
    <row r="3874" spans="1:38" hidden="1" x14ac:dyDescent="0.2">
      <c r="A3874" s="2">
        <v>2026</v>
      </c>
      <c r="B3874" s="2">
        <v>5</v>
      </c>
      <c r="C3874" s="2" t="s">
        <v>3380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2928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8"/>
        <v>0.49808399999999997</v>
      </c>
      <c r="Z3874" s="2" t="s">
        <v>3233</v>
      </c>
      <c r="AA3874" s="2" t="s">
        <v>46</v>
      </c>
      <c r="AB3874" s="2" t="s">
        <v>91</v>
      </c>
      <c r="AC3874" s="2" t="s">
        <v>58</v>
      </c>
      <c r="AF3874" s="2">
        <f t="shared" si="486"/>
        <v>0</v>
      </c>
      <c r="AG3874" s="2">
        <v>25.094999999999999</v>
      </c>
      <c r="AH3874" s="2">
        <v>66</v>
      </c>
      <c r="AJ3874" s="2">
        <f t="shared" si="487"/>
        <v>0</v>
      </c>
      <c r="AK3874" s="2">
        <f t="shared" si="485"/>
        <v>24.904199999999999</v>
      </c>
      <c r="AL3874" s="5">
        <f t="shared" si="489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2928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8"/>
        <v>0.29692307692307701</v>
      </c>
      <c r="Z3875" s="2" t="s">
        <v>3233</v>
      </c>
      <c r="AA3875" s="2" t="s">
        <v>46</v>
      </c>
      <c r="AB3875" s="2" t="s">
        <v>61</v>
      </c>
      <c r="AC3875" s="2" t="s">
        <v>58</v>
      </c>
      <c r="AF3875" s="2">
        <f t="shared" si="486"/>
        <v>0</v>
      </c>
      <c r="AG3875" s="2">
        <v>9.14</v>
      </c>
      <c r="AH3875" s="2">
        <v>16</v>
      </c>
      <c r="AJ3875" s="2">
        <f t="shared" si="487"/>
        <v>0</v>
      </c>
      <c r="AK3875" s="2">
        <f t="shared" si="485"/>
        <v>3.8600000000000012</v>
      </c>
      <c r="AL3875" s="5">
        <f t="shared" si="489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2928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8"/>
        <v>0.36923076923076914</v>
      </c>
      <c r="Z3876" s="2" t="s">
        <v>3233</v>
      </c>
      <c r="AA3876" s="2" t="s">
        <v>46</v>
      </c>
      <c r="AB3876" s="2" t="s">
        <v>61</v>
      </c>
      <c r="AC3876" s="2" t="s">
        <v>58</v>
      </c>
      <c r="AF3876" s="2">
        <f t="shared" si="486"/>
        <v>0</v>
      </c>
      <c r="AG3876" s="2">
        <v>8.1999999999999993</v>
      </c>
      <c r="AH3876" s="2">
        <v>13</v>
      </c>
      <c r="AJ3876" s="2">
        <f t="shared" si="487"/>
        <v>0</v>
      </c>
      <c r="AK3876" s="2">
        <f t="shared" si="485"/>
        <v>19.199999999999996</v>
      </c>
      <c r="AL3876" s="5">
        <f t="shared" si="489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2928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8"/>
        <v>0.29692307692307701</v>
      </c>
      <c r="Z3877" s="2" t="s">
        <v>3233</v>
      </c>
      <c r="AA3877" s="2" t="s">
        <v>46</v>
      </c>
      <c r="AB3877" s="2" t="s">
        <v>61</v>
      </c>
      <c r="AC3877" s="2" t="s">
        <v>58</v>
      </c>
      <c r="AF3877" s="2">
        <f t="shared" si="486"/>
        <v>0</v>
      </c>
      <c r="AJ3877" s="2">
        <f t="shared" si="487"/>
        <v>0</v>
      </c>
      <c r="AK3877" s="2">
        <f t="shared" si="485"/>
        <v>3.8600000000000012</v>
      </c>
      <c r="AL3877" s="5">
        <f t="shared" si="489"/>
        <v>0.29692307692307701</v>
      </c>
    </row>
    <row r="3878" spans="1:38" hidden="1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2928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90">(T3878-W3878)/T3878</f>
        <v>0.5243888888888889</v>
      </c>
      <c r="Z3878" s="2" t="s">
        <v>3233</v>
      </c>
      <c r="AA3878" s="2" t="s">
        <v>46</v>
      </c>
      <c r="AB3878" s="2" t="s">
        <v>61</v>
      </c>
      <c r="AC3878" s="2" t="s">
        <v>58</v>
      </c>
      <c r="AF3878" s="2">
        <f t="shared" si="486"/>
        <v>0</v>
      </c>
      <c r="AG3878" s="2">
        <v>0.85609999999999997</v>
      </c>
      <c r="AH3878" s="2">
        <v>1.8</v>
      </c>
      <c r="AJ3878" s="2">
        <f t="shared" si="487"/>
        <v>0</v>
      </c>
      <c r="AK3878" s="2">
        <f t="shared" si="485"/>
        <v>7.5512000000000006</v>
      </c>
      <c r="AL3878" s="5">
        <f t="shared" ref="AL3878:AL3909" si="491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2928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90"/>
        <v>0.62926666666666664</v>
      </c>
      <c r="Z3879" s="2" t="s">
        <v>3233</v>
      </c>
      <c r="AA3879" s="2" t="s">
        <v>46</v>
      </c>
      <c r="AB3879" s="2" t="s">
        <v>61</v>
      </c>
      <c r="AC3879" s="2" t="s">
        <v>58</v>
      </c>
      <c r="AF3879" s="2">
        <f t="shared" si="486"/>
        <v>0</v>
      </c>
      <c r="AG3879" s="2">
        <v>1.1122000000000001</v>
      </c>
      <c r="AH3879" s="2">
        <v>3</v>
      </c>
      <c r="AJ3879" s="2">
        <f t="shared" si="487"/>
        <v>0</v>
      </c>
      <c r="AK3879" s="2">
        <f t="shared" si="485"/>
        <v>15.102399999999999</v>
      </c>
      <c r="AL3879" s="5">
        <f t="shared" si="491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2928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90"/>
        <v>0.5295333333333333</v>
      </c>
      <c r="Z3880" s="2" t="s">
        <v>3233</v>
      </c>
      <c r="AA3880" s="2" t="s">
        <v>46</v>
      </c>
      <c r="AB3880" s="2" t="s">
        <v>61</v>
      </c>
      <c r="AC3880" s="2" t="s">
        <v>58</v>
      </c>
      <c r="AF3880" s="2">
        <f t="shared" si="486"/>
        <v>0</v>
      </c>
      <c r="AG3880" s="2">
        <v>1.4114</v>
      </c>
      <c r="AH3880" s="2">
        <v>3</v>
      </c>
      <c r="AJ3880" s="2">
        <f t="shared" si="487"/>
        <v>0</v>
      </c>
      <c r="AK3880" s="2">
        <f t="shared" si="485"/>
        <v>6.3544</v>
      </c>
      <c r="AL3880" s="5">
        <f t="shared" si="491"/>
        <v>0.5295333333333333</v>
      </c>
    </row>
    <row r="3881" spans="1:38" hidden="1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2928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90"/>
        <v>1</v>
      </c>
      <c r="Z3881" s="2" t="s">
        <v>3233</v>
      </c>
      <c r="AA3881" s="2" t="s">
        <v>46</v>
      </c>
      <c r="AB3881" s="2" t="s">
        <v>61</v>
      </c>
      <c r="AC3881" s="2" t="s">
        <v>58</v>
      </c>
      <c r="AF3881" s="2">
        <f t="shared" si="486"/>
        <v>0</v>
      </c>
      <c r="AJ3881" s="2">
        <f t="shared" si="487"/>
        <v>0</v>
      </c>
      <c r="AK3881" s="2">
        <f t="shared" si="485"/>
        <v>12</v>
      </c>
      <c r="AL3881" s="5">
        <f t="shared" si="491"/>
        <v>1</v>
      </c>
    </row>
    <row r="3882" spans="1:38" hidden="1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2928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90"/>
        <v>0.34694347826086952</v>
      </c>
      <c r="Z3882" s="2" t="s">
        <v>3233</v>
      </c>
      <c r="AA3882" s="2" t="s">
        <v>46</v>
      </c>
      <c r="AB3882" s="2" t="s">
        <v>68</v>
      </c>
      <c r="AC3882" s="2" t="s">
        <v>58</v>
      </c>
      <c r="AF3882" s="2">
        <f t="shared" si="486"/>
        <v>0</v>
      </c>
      <c r="AG3882" s="2">
        <v>15.020300000000001</v>
      </c>
      <c r="AH3882" s="2">
        <v>27.6</v>
      </c>
      <c r="AJ3882" s="2">
        <f t="shared" si="487"/>
        <v>0</v>
      </c>
      <c r="AK3882" s="2">
        <f t="shared" si="485"/>
        <v>7.9796999999999993</v>
      </c>
      <c r="AL3882" s="5">
        <f t="shared" si="491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2928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90"/>
        <v>0.36042307692307685</v>
      </c>
      <c r="Z3883" s="2" t="s">
        <v>3233</v>
      </c>
      <c r="AA3883" s="2" t="s">
        <v>46</v>
      </c>
      <c r="AB3883" s="2" t="s">
        <v>68</v>
      </c>
      <c r="AC3883" s="2" t="s">
        <v>58</v>
      </c>
      <c r="AF3883" s="2">
        <f t="shared" si="486"/>
        <v>0</v>
      </c>
      <c r="AG3883" s="2">
        <v>8.3145000000000007</v>
      </c>
      <c r="AH3883" s="2">
        <v>15</v>
      </c>
      <c r="AJ3883" s="2">
        <f t="shared" si="487"/>
        <v>0</v>
      </c>
      <c r="AK3883" s="2">
        <f t="shared" si="485"/>
        <v>4.6854999999999993</v>
      </c>
      <c r="AL3883" s="5">
        <f t="shared" si="491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2928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90"/>
        <v>1</v>
      </c>
      <c r="Z3884" s="2" t="s">
        <v>3233</v>
      </c>
      <c r="AA3884" s="2" t="s">
        <v>88</v>
      </c>
      <c r="AB3884" s="2" t="s">
        <v>91</v>
      </c>
      <c r="AC3884" s="2" t="s">
        <v>85</v>
      </c>
      <c r="AF3884" s="2">
        <f t="shared" si="486"/>
        <v>0</v>
      </c>
      <c r="AJ3884" s="2">
        <f t="shared" si="487"/>
        <v>0</v>
      </c>
      <c r="AK3884" s="2">
        <f t="shared" si="485"/>
        <v>13.2</v>
      </c>
      <c r="AL3884" s="5">
        <f t="shared" si="491"/>
        <v>1</v>
      </c>
    </row>
    <row r="3885" spans="1:38" hidden="1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2928</v>
      </c>
      <c r="P3885" s="2" t="s">
        <v>2903</v>
      </c>
      <c r="Q3885" s="2" t="s">
        <v>2932</v>
      </c>
      <c r="R3885" s="2" t="s">
        <v>2933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90"/>
        <v>0.15454545454545454</v>
      </c>
      <c r="Z3885" s="2" t="s">
        <v>3233</v>
      </c>
      <c r="AA3885" s="2" t="s">
        <v>72</v>
      </c>
      <c r="AB3885" s="2" t="s">
        <v>2903</v>
      </c>
      <c r="AC3885" s="2" t="s">
        <v>2903</v>
      </c>
      <c r="AF3885" s="2">
        <f t="shared" si="486"/>
        <v>0</v>
      </c>
      <c r="AG3885" s="2">
        <v>139.5</v>
      </c>
      <c r="AJ3885" s="2">
        <f t="shared" si="487"/>
        <v>0</v>
      </c>
      <c r="AK3885" s="2">
        <f t="shared" si="485"/>
        <v>25.5</v>
      </c>
      <c r="AL3885" s="5">
        <f t="shared" si="491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2934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90"/>
        <v>0.58491111111111116</v>
      </c>
      <c r="Z3886" s="2" t="s">
        <v>3233</v>
      </c>
      <c r="AA3886" s="2" t="s">
        <v>46</v>
      </c>
      <c r="AB3886" s="2" t="s">
        <v>47</v>
      </c>
      <c r="AC3886" s="2" t="s">
        <v>48</v>
      </c>
      <c r="AF3886" s="2">
        <f t="shared" si="486"/>
        <v>0</v>
      </c>
      <c r="AG3886" s="2">
        <v>3.7357999999999998</v>
      </c>
      <c r="AH3886" s="2">
        <v>9</v>
      </c>
      <c r="AJ3886" s="2">
        <f t="shared" si="487"/>
        <v>0</v>
      </c>
      <c r="AK3886" s="2">
        <f t="shared" si="485"/>
        <v>21.056800000000003</v>
      </c>
      <c r="AL3886" s="5">
        <f t="shared" si="491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312</v>
      </c>
      <c r="E3887" s="2" t="s">
        <v>2452</v>
      </c>
      <c r="F3887" s="2" t="s">
        <v>39</v>
      </c>
      <c r="G3887" s="2">
        <v>505814030</v>
      </c>
      <c r="H3887" s="2" t="s">
        <v>291</v>
      </c>
      <c r="I3887" s="2" t="s">
        <v>2453</v>
      </c>
      <c r="J3887" s="2" t="s">
        <v>2454</v>
      </c>
      <c r="L3887" s="2" t="s">
        <v>340</v>
      </c>
      <c r="M3887" s="2" t="s">
        <v>81</v>
      </c>
      <c r="O3887" s="2" t="s">
        <v>2935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90"/>
        <v>0.36923076923076914</v>
      </c>
      <c r="Z3887" s="2" t="s">
        <v>3233</v>
      </c>
      <c r="AA3887" s="2" t="s">
        <v>46</v>
      </c>
      <c r="AB3887" s="2" t="s">
        <v>61</v>
      </c>
      <c r="AC3887" s="2" t="s">
        <v>58</v>
      </c>
      <c r="AF3887" s="2">
        <f t="shared" si="486"/>
        <v>0</v>
      </c>
      <c r="AG3887" s="2">
        <v>8.1999999999999993</v>
      </c>
      <c r="AH3887" s="2">
        <v>13</v>
      </c>
      <c r="AJ3887" s="2">
        <f t="shared" si="487"/>
        <v>0</v>
      </c>
      <c r="AK3887" s="2">
        <f t="shared" si="485"/>
        <v>4.7999999999999989</v>
      </c>
      <c r="AL3887" s="5">
        <f t="shared" si="491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312</v>
      </c>
      <c r="E3888" s="2" t="s">
        <v>2452</v>
      </c>
      <c r="F3888" s="2" t="s">
        <v>39</v>
      </c>
      <c r="G3888" s="2">
        <v>505814030</v>
      </c>
      <c r="H3888" s="2" t="s">
        <v>291</v>
      </c>
      <c r="I3888" s="2" t="s">
        <v>2453</v>
      </c>
      <c r="J3888" s="2" t="s">
        <v>2454</v>
      </c>
      <c r="L3888" s="2" t="s">
        <v>340</v>
      </c>
      <c r="M3888" s="2" t="s">
        <v>81</v>
      </c>
      <c r="O3888" s="2" t="s">
        <v>2935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90"/>
        <v>0.34694347826086952</v>
      </c>
      <c r="Z3888" s="2" t="s">
        <v>3233</v>
      </c>
      <c r="AA3888" s="2" t="s">
        <v>46</v>
      </c>
      <c r="AB3888" s="2" t="s">
        <v>68</v>
      </c>
      <c r="AC3888" s="2" t="s">
        <v>58</v>
      </c>
      <c r="AF3888" s="2">
        <f t="shared" si="486"/>
        <v>0</v>
      </c>
      <c r="AG3888" s="2">
        <v>15.020300000000001</v>
      </c>
      <c r="AH3888" s="2">
        <v>27.6</v>
      </c>
      <c r="AJ3888" s="2">
        <f t="shared" si="487"/>
        <v>0</v>
      </c>
      <c r="AK3888" s="2">
        <f t="shared" si="485"/>
        <v>7.9796999999999993</v>
      </c>
      <c r="AL3888" s="5">
        <f t="shared" si="491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2452</v>
      </c>
      <c r="F3889" s="2" t="s">
        <v>39</v>
      </c>
      <c r="G3889" s="2">
        <v>505814030</v>
      </c>
      <c r="H3889" s="2" t="s">
        <v>291</v>
      </c>
      <c r="I3889" s="2" t="s">
        <v>2453</v>
      </c>
      <c r="J3889" s="2" t="s">
        <v>2454</v>
      </c>
      <c r="L3889" s="2" t="s">
        <v>340</v>
      </c>
      <c r="M3889" s="2" t="s">
        <v>81</v>
      </c>
      <c r="O3889" s="2" t="s">
        <v>2935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90"/>
        <v>1</v>
      </c>
      <c r="Z3889" s="2" t="s">
        <v>170</v>
      </c>
      <c r="AA3889" s="2" t="s">
        <v>170</v>
      </c>
      <c r="AF3889" s="2">
        <f t="shared" si="486"/>
        <v>0</v>
      </c>
      <c r="AJ3889" s="2">
        <f t="shared" si="487"/>
        <v>0</v>
      </c>
      <c r="AK3889" s="2">
        <f t="shared" si="485"/>
        <v>5</v>
      </c>
      <c r="AL3889" s="5">
        <f t="shared" si="491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3237</v>
      </c>
      <c r="Q3890" s="2" t="s">
        <v>1792</v>
      </c>
      <c r="R3890" s="2" t="s">
        <v>1793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90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3237</v>
      </c>
      <c r="AF3890" s="2">
        <f t="shared" si="486"/>
        <v>0</v>
      </c>
      <c r="AJ3890" s="2">
        <f t="shared" si="487"/>
        <v>0</v>
      </c>
      <c r="AK3890" s="2">
        <f t="shared" si="485"/>
        <v>1649.08</v>
      </c>
      <c r="AL3890" s="5">
        <f t="shared" si="491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90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486"/>
        <v>0</v>
      </c>
      <c r="AG3891" s="2">
        <f>W3891</f>
        <v>95.100000000000009</v>
      </c>
      <c r="AJ3891" s="2">
        <f t="shared" si="487"/>
        <v>0</v>
      </c>
      <c r="AK3891" s="2">
        <f t="shared" si="485"/>
        <v>142.64999999999998</v>
      </c>
      <c r="AL3891" s="5">
        <f t="shared" si="491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90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486"/>
        <v>0</v>
      </c>
      <c r="AG3892" s="2">
        <f>W3892</f>
        <v>27.5</v>
      </c>
      <c r="AJ3892" s="2">
        <f t="shared" si="487"/>
        <v>0</v>
      </c>
      <c r="AK3892" s="2">
        <f t="shared" si="485"/>
        <v>27.5</v>
      </c>
      <c r="AL3892" s="5">
        <f t="shared" si="491"/>
        <v>0.5</v>
      </c>
    </row>
    <row r="3893" spans="1:38" hidden="1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90"/>
        <v>1</v>
      </c>
      <c r="Z3893" s="2" t="s">
        <v>120</v>
      </c>
      <c r="AA3893" s="2" t="s">
        <v>3388</v>
      </c>
      <c r="AF3893" s="2">
        <f t="shared" si="486"/>
        <v>0</v>
      </c>
      <c r="AJ3893" s="2">
        <f t="shared" si="487"/>
        <v>0</v>
      </c>
      <c r="AK3893" s="2">
        <f t="shared" si="485"/>
        <v>297.5</v>
      </c>
      <c r="AL3893" s="5">
        <f t="shared" si="491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2936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90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6"/>
        <v>0</v>
      </c>
      <c r="AJ3894" s="2">
        <f t="shared" si="487"/>
        <v>0</v>
      </c>
      <c r="AK3894" s="2">
        <f t="shared" ref="AK3894:AK3950" si="492">T3894-W3894</f>
        <v>146.92000000000002</v>
      </c>
      <c r="AL3894" s="5">
        <f t="shared" si="491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1350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2937</v>
      </c>
      <c r="J3895" s="2" t="s">
        <v>2938</v>
      </c>
      <c r="K3895" s="2">
        <v>915170083</v>
      </c>
      <c r="L3895" s="2" t="s">
        <v>462</v>
      </c>
      <c r="M3895" s="2" t="s">
        <v>81</v>
      </c>
      <c r="O3895" s="2" t="s">
        <v>2939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90"/>
        <v>0.47191304347826091</v>
      </c>
      <c r="Z3895" s="2" t="s">
        <v>3233</v>
      </c>
      <c r="AA3895" s="2" t="s">
        <v>76</v>
      </c>
      <c r="AB3895" s="2" t="s">
        <v>77</v>
      </c>
      <c r="AC3895" s="2" t="s">
        <v>78</v>
      </c>
      <c r="AF3895" s="2">
        <f t="shared" si="486"/>
        <v>0</v>
      </c>
      <c r="AG3895" s="2">
        <v>121.46</v>
      </c>
      <c r="AH3895" s="2">
        <v>210</v>
      </c>
      <c r="AJ3895" s="2">
        <f t="shared" si="487"/>
        <v>0</v>
      </c>
      <c r="AK3895" s="2">
        <f t="shared" si="492"/>
        <v>108.54</v>
      </c>
      <c r="AL3895" s="5">
        <f t="shared" si="491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1350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90"/>
        <v>0</v>
      </c>
      <c r="Z3896" s="2" t="s">
        <v>3233</v>
      </c>
      <c r="AA3896" s="2" t="s">
        <v>97</v>
      </c>
      <c r="AB3896" s="2" t="s">
        <v>77</v>
      </c>
      <c r="AC3896" s="2" t="s">
        <v>94</v>
      </c>
      <c r="AF3896" s="2">
        <f t="shared" si="486"/>
        <v>0</v>
      </c>
      <c r="AJ3896" s="2">
        <f t="shared" si="487"/>
        <v>0</v>
      </c>
      <c r="AK3896" s="2">
        <f t="shared" si="492"/>
        <v>0</v>
      </c>
      <c r="AL3896" s="5">
        <f t="shared" si="491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2940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90"/>
        <v>0.43388888888888894</v>
      </c>
      <c r="Z3897" s="2" t="s">
        <v>3233</v>
      </c>
      <c r="AA3897" s="2" t="s">
        <v>76</v>
      </c>
      <c r="AB3897" s="2" t="s">
        <v>77</v>
      </c>
      <c r="AC3897" s="2" t="s">
        <v>78</v>
      </c>
      <c r="AF3897" s="2">
        <f t="shared" si="486"/>
        <v>0</v>
      </c>
      <c r="AJ3897" s="2">
        <f t="shared" si="487"/>
        <v>0</v>
      </c>
      <c r="AK3897" s="2">
        <f t="shared" si="492"/>
        <v>117.15</v>
      </c>
      <c r="AL3897" s="5">
        <f t="shared" si="491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2940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90"/>
        <v>0</v>
      </c>
      <c r="Z3898" s="2" t="s">
        <v>3233</v>
      </c>
      <c r="AA3898" s="2" t="s">
        <v>97</v>
      </c>
      <c r="AB3898" s="2" t="s">
        <v>77</v>
      </c>
      <c r="AC3898" s="2" t="s">
        <v>94</v>
      </c>
      <c r="AF3898" s="2">
        <f t="shared" si="486"/>
        <v>0</v>
      </c>
      <c r="AJ3898" s="2">
        <f t="shared" si="487"/>
        <v>0</v>
      </c>
      <c r="AK3898" s="2">
        <f t="shared" si="492"/>
        <v>0</v>
      </c>
      <c r="AL3898" s="5">
        <f t="shared" si="491"/>
        <v>0</v>
      </c>
    </row>
    <row r="3899" spans="1:38" hidden="1" x14ac:dyDescent="0.2">
      <c r="A3899" s="2">
        <v>2026</v>
      </c>
      <c r="B3899" s="2">
        <v>5</v>
      </c>
      <c r="D3899" s="2" t="s">
        <v>2941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90"/>
        <v>0.4142857142857142</v>
      </c>
      <c r="Z3899" s="2" t="s">
        <v>3233</v>
      </c>
      <c r="AA3899" s="2" t="s">
        <v>46</v>
      </c>
      <c r="AB3899" s="2" t="s">
        <v>61</v>
      </c>
      <c r="AC3899" s="2" t="s">
        <v>58</v>
      </c>
      <c r="AF3899" s="2">
        <f t="shared" si="486"/>
        <v>0</v>
      </c>
      <c r="AG3899" s="2">
        <v>8.1999999999999993</v>
      </c>
      <c r="AH3899" s="2">
        <v>13</v>
      </c>
      <c r="AJ3899" s="2">
        <f t="shared" si="487"/>
        <v>0</v>
      </c>
      <c r="AK3899" s="2">
        <f t="shared" si="492"/>
        <v>5.7999999999999989</v>
      </c>
      <c r="AL3899" s="5">
        <f t="shared" si="491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982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90"/>
        <v>0.41111111111111115</v>
      </c>
      <c r="Z3900" s="2" t="s">
        <v>3233</v>
      </c>
      <c r="AA3900" s="2" t="s">
        <v>46</v>
      </c>
      <c r="AB3900" s="2" t="s">
        <v>57</v>
      </c>
      <c r="AC3900" s="2" t="s">
        <v>58</v>
      </c>
      <c r="AF3900" s="2">
        <f t="shared" si="486"/>
        <v>0</v>
      </c>
      <c r="AG3900" s="2">
        <v>10.6</v>
      </c>
      <c r="AH3900" s="2">
        <v>18</v>
      </c>
      <c r="AJ3900" s="2">
        <f t="shared" si="487"/>
        <v>0</v>
      </c>
      <c r="AK3900" s="2">
        <f t="shared" si="492"/>
        <v>14.8</v>
      </c>
      <c r="AL3900" s="5">
        <f t="shared" si="491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2942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90"/>
        <v>0.42947272727272723</v>
      </c>
      <c r="Z3901" s="2" t="s">
        <v>3233</v>
      </c>
      <c r="AA3901" s="2" t="s">
        <v>76</v>
      </c>
      <c r="AB3901" s="2" t="s">
        <v>77</v>
      </c>
      <c r="AC3901" s="2" t="s">
        <v>78</v>
      </c>
      <c r="AF3901" s="2">
        <f t="shared" si="486"/>
        <v>0</v>
      </c>
      <c r="AG3901" s="2">
        <v>125.51600000000001</v>
      </c>
      <c r="AH3901" s="2">
        <v>220</v>
      </c>
      <c r="AJ3901" s="2">
        <f t="shared" si="487"/>
        <v>0</v>
      </c>
      <c r="AK3901" s="2">
        <f t="shared" si="492"/>
        <v>94.483999999999995</v>
      </c>
      <c r="AL3901" s="5">
        <f t="shared" si="491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2942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90"/>
        <v>0.45375609756097557</v>
      </c>
      <c r="Z3902" s="2" t="s">
        <v>3233</v>
      </c>
      <c r="AA3902" s="2" t="s">
        <v>76</v>
      </c>
      <c r="AB3902" s="2" t="s">
        <v>77</v>
      </c>
      <c r="AC3902" s="2" t="s">
        <v>78</v>
      </c>
      <c r="AF3902" s="2">
        <f t="shared" si="486"/>
        <v>0</v>
      </c>
      <c r="AG3902" s="2">
        <v>111.98</v>
      </c>
      <c r="AH3902" s="2">
        <v>210</v>
      </c>
      <c r="AJ3902" s="2">
        <f t="shared" si="487"/>
        <v>0</v>
      </c>
      <c r="AK3902" s="2">
        <f t="shared" si="492"/>
        <v>93.02</v>
      </c>
      <c r="AL3902" s="5">
        <f t="shared" si="491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2942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90"/>
        <v>0</v>
      </c>
      <c r="Z3903" s="2" t="s">
        <v>3233</v>
      </c>
      <c r="AA3903" s="2" t="s">
        <v>97</v>
      </c>
      <c r="AB3903" s="2" t="s">
        <v>77</v>
      </c>
      <c r="AC3903" s="2" t="s">
        <v>94</v>
      </c>
      <c r="AF3903" s="2">
        <f t="shared" si="486"/>
        <v>0</v>
      </c>
      <c r="AG3903" s="2">
        <v>1.48</v>
      </c>
      <c r="AH3903" s="2">
        <v>1.48</v>
      </c>
      <c r="AJ3903" s="2">
        <f t="shared" si="487"/>
        <v>0</v>
      </c>
      <c r="AK3903" s="2">
        <f t="shared" si="492"/>
        <v>0</v>
      </c>
      <c r="AL3903" s="5">
        <f t="shared" si="491"/>
        <v>0</v>
      </c>
    </row>
    <row r="3904" spans="1:38" hidden="1" x14ac:dyDescent="0.2">
      <c r="A3904" s="2">
        <v>2026</v>
      </c>
      <c r="B3904" s="2">
        <v>5</v>
      </c>
      <c r="D3904" s="2" t="s">
        <v>1358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1359</v>
      </c>
      <c r="L3904" s="2" t="s">
        <v>419</v>
      </c>
      <c r="P3904" s="2" t="s">
        <v>283</v>
      </c>
      <c r="Q3904" s="2" t="s">
        <v>1515</v>
      </c>
      <c r="R3904" s="2" t="s">
        <v>1516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90"/>
        <v>0.39011111111111113</v>
      </c>
      <c r="Z3904" s="2" t="s">
        <v>3233</v>
      </c>
      <c r="AA3904" s="2" t="s">
        <v>72</v>
      </c>
      <c r="AB3904" s="2" t="s">
        <v>1605</v>
      </c>
      <c r="AC3904" s="2" t="s">
        <v>1605</v>
      </c>
      <c r="AF3904" s="2">
        <f t="shared" si="486"/>
        <v>0</v>
      </c>
      <c r="AJ3904" s="2">
        <f t="shared" si="487"/>
        <v>0</v>
      </c>
      <c r="AK3904" s="2">
        <f t="shared" si="492"/>
        <v>17.555</v>
      </c>
      <c r="AL3904" s="5">
        <f t="shared" si="491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2563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2943</v>
      </c>
      <c r="J3905" s="2" t="s">
        <v>2944</v>
      </c>
      <c r="K3905" s="2">
        <v>962004672</v>
      </c>
      <c r="L3905" s="2" t="s">
        <v>399</v>
      </c>
      <c r="M3905" s="2" t="s">
        <v>81</v>
      </c>
      <c r="O3905" s="2" t="s">
        <v>2945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90"/>
        <v>0.52504545454545459</v>
      </c>
      <c r="Z3905" s="2" t="s">
        <v>3233</v>
      </c>
      <c r="AA3905" s="2" t="s">
        <v>76</v>
      </c>
      <c r="AB3905" s="2" t="s">
        <v>77</v>
      </c>
      <c r="AC3905" s="2" t="s">
        <v>78</v>
      </c>
      <c r="AF3905" s="2">
        <f t="shared" si="486"/>
        <v>0</v>
      </c>
      <c r="AG3905" s="2">
        <v>104.49</v>
      </c>
      <c r="AH3905" s="2">
        <v>220</v>
      </c>
      <c r="AJ3905" s="2">
        <f t="shared" si="487"/>
        <v>0</v>
      </c>
      <c r="AK3905" s="2">
        <f t="shared" si="492"/>
        <v>115.51</v>
      </c>
      <c r="AL3905" s="5">
        <f t="shared" si="491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2563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90"/>
        <v>1</v>
      </c>
      <c r="Z3906" s="2" t="s">
        <v>3233</v>
      </c>
      <c r="AA3906" s="2" t="s">
        <v>97</v>
      </c>
      <c r="AB3906" s="2" t="s">
        <v>77</v>
      </c>
      <c r="AC3906" s="2" t="s">
        <v>94</v>
      </c>
      <c r="AF3906" s="2">
        <f t="shared" si="486"/>
        <v>0</v>
      </c>
      <c r="AJ3906" s="2">
        <f t="shared" si="487"/>
        <v>0</v>
      </c>
      <c r="AK3906" s="2">
        <f t="shared" si="492"/>
        <v>1.48</v>
      </c>
      <c r="AL3906" s="5">
        <f t="shared" si="491"/>
        <v>1</v>
      </c>
    </row>
    <row r="3907" spans="1:38" hidden="1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2946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90"/>
        <v>0.31428571428571428</v>
      </c>
      <c r="Z3907" s="2" t="s">
        <v>3233</v>
      </c>
      <c r="AA3907" s="2" t="s">
        <v>46</v>
      </c>
      <c r="AB3907" s="2" t="s">
        <v>47</v>
      </c>
      <c r="AC3907" s="2" t="s">
        <v>48</v>
      </c>
      <c r="AF3907" s="2">
        <f t="shared" ref="AF3907:AF3970" si="493">AJ3907</f>
        <v>0</v>
      </c>
      <c r="AG3907" s="2">
        <v>14.4</v>
      </c>
      <c r="AH3907" s="2">
        <v>21</v>
      </c>
      <c r="AJ3907" s="2">
        <f t="shared" ref="AJ3907:AJ3970" si="494">AI3907*T3907</f>
        <v>0</v>
      </c>
      <c r="AK3907" s="2">
        <f t="shared" si="492"/>
        <v>6.6</v>
      </c>
      <c r="AL3907" s="5">
        <f t="shared" si="491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2947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90"/>
        <v>0.29333333333333333</v>
      </c>
      <c r="Z3908" s="2" t="s">
        <v>3233</v>
      </c>
      <c r="AA3908" s="2" t="s">
        <v>46</v>
      </c>
      <c r="AB3908" s="2" t="s">
        <v>57</v>
      </c>
      <c r="AC3908" s="2" t="s">
        <v>58</v>
      </c>
      <c r="AF3908" s="2">
        <f t="shared" si="493"/>
        <v>0</v>
      </c>
      <c r="AG3908" s="2">
        <v>10.6</v>
      </c>
      <c r="AH3908" s="2">
        <v>18</v>
      </c>
      <c r="AJ3908" s="2">
        <f t="shared" si="494"/>
        <v>0</v>
      </c>
      <c r="AK3908" s="2">
        <f t="shared" si="492"/>
        <v>44</v>
      </c>
      <c r="AL3908" s="5">
        <f t="shared" si="491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2946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90"/>
        <v>0.38692653061224486</v>
      </c>
      <c r="Z3909" s="2" t="s">
        <v>3233</v>
      </c>
      <c r="AA3909" s="2" t="s">
        <v>46</v>
      </c>
      <c r="AB3909" s="2" t="s">
        <v>68</v>
      </c>
      <c r="AC3909" s="2" t="s">
        <v>58</v>
      </c>
      <c r="AF3909" s="2">
        <f t="shared" si="493"/>
        <v>0</v>
      </c>
      <c r="AG3909" s="2">
        <v>15.020300000000001</v>
      </c>
      <c r="AH3909" s="2">
        <v>27.6</v>
      </c>
      <c r="AJ3909" s="2">
        <f t="shared" si="494"/>
        <v>0</v>
      </c>
      <c r="AK3909" s="2">
        <f t="shared" si="492"/>
        <v>9.4796999999999993</v>
      </c>
      <c r="AL3909" s="5">
        <f t="shared" si="491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1529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1530</v>
      </c>
      <c r="J3910" s="2" t="s">
        <v>1531</v>
      </c>
      <c r="K3910" s="2">
        <v>962461409</v>
      </c>
      <c r="L3910" s="2" t="s">
        <v>345</v>
      </c>
      <c r="M3910" s="2" t="s">
        <v>40</v>
      </c>
      <c r="O3910" s="2" t="s">
        <v>2948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5">(T3910-W3910)/T3910</f>
        <v>1</v>
      </c>
      <c r="Z3910" s="2" t="s">
        <v>118</v>
      </c>
      <c r="AA3910" s="2" t="s">
        <v>1313</v>
      </c>
      <c r="AF3910" s="2">
        <f t="shared" si="493"/>
        <v>0</v>
      </c>
      <c r="AJ3910" s="2">
        <f t="shared" si="494"/>
        <v>0</v>
      </c>
      <c r="AK3910" s="2">
        <f t="shared" si="492"/>
        <v>104.83</v>
      </c>
      <c r="AL3910" s="5">
        <f t="shared" ref="AL3910:AL3940" si="496">(T3910-W3910)/T3910</f>
        <v>1</v>
      </c>
    </row>
    <row r="3911" spans="1:38" hidden="1" x14ac:dyDescent="0.2">
      <c r="A3911" s="2">
        <v>2026</v>
      </c>
      <c r="B3911" s="2">
        <v>5</v>
      </c>
      <c r="D3911" s="2" t="s">
        <v>2949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5"/>
        <v>0.29333333333333333</v>
      </c>
      <c r="Z3911" s="2" t="s">
        <v>3233</v>
      </c>
      <c r="AA3911" s="2" t="s">
        <v>46</v>
      </c>
      <c r="AB3911" s="2" t="s">
        <v>57</v>
      </c>
      <c r="AC3911" s="2" t="s">
        <v>58</v>
      </c>
      <c r="AF3911" s="2">
        <f t="shared" si="493"/>
        <v>0</v>
      </c>
      <c r="AG3911" s="2">
        <v>10.6</v>
      </c>
      <c r="AH3911" s="2">
        <v>18</v>
      </c>
      <c r="AJ3911" s="2">
        <f t="shared" si="494"/>
        <v>0</v>
      </c>
      <c r="AK3911" s="2">
        <f t="shared" si="492"/>
        <v>44</v>
      </c>
      <c r="AL3911" s="5">
        <f t="shared" si="496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2237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5"/>
        <v>0.25454545454545452</v>
      </c>
      <c r="Z3912" s="2" t="s">
        <v>3233</v>
      </c>
      <c r="AA3912" s="2" t="s">
        <v>46</v>
      </c>
      <c r="AB3912" s="2" t="s">
        <v>61</v>
      </c>
      <c r="AC3912" s="2" t="s">
        <v>58</v>
      </c>
      <c r="AF3912" s="2">
        <f t="shared" si="493"/>
        <v>0</v>
      </c>
      <c r="AG3912" s="2">
        <v>8.1999999999999993</v>
      </c>
      <c r="AH3912" s="2">
        <v>13</v>
      </c>
      <c r="AJ3912" s="2">
        <f t="shared" si="494"/>
        <v>0</v>
      </c>
      <c r="AK3912" s="2">
        <f t="shared" si="492"/>
        <v>28</v>
      </c>
      <c r="AL3912" s="5">
        <f t="shared" si="496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2237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5"/>
        <v>1</v>
      </c>
      <c r="Z3913" s="2" t="s">
        <v>170</v>
      </c>
      <c r="AA3913" s="2" t="s">
        <v>170</v>
      </c>
      <c r="AF3913" s="2">
        <f t="shared" si="493"/>
        <v>0</v>
      </c>
      <c r="AJ3913" s="2">
        <f t="shared" si="494"/>
        <v>0</v>
      </c>
      <c r="AK3913" s="2">
        <f t="shared" si="492"/>
        <v>5</v>
      </c>
      <c r="AL3913" s="5">
        <f t="shared" si="496"/>
        <v>1</v>
      </c>
    </row>
    <row r="3914" spans="1:38" hidden="1" x14ac:dyDescent="0.2">
      <c r="A3914" s="2">
        <v>2026</v>
      </c>
      <c r="B3914" s="2">
        <v>5</v>
      </c>
      <c r="C3914" s="2" t="s">
        <v>3443</v>
      </c>
      <c r="D3914" s="2" t="s">
        <v>2950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5"/>
        <v>0.33938947368421052</v>
      </c>
      <c r="Z3914" s="2" t="s">
        <v>3233</v>
      </c>
      <c r="AA3914" s="2" t="s">
        <v>76</v>
      </c>
      <c r="AB3914" s="2" t="s">
        <v>77</v>
      </c>
      <c r="AC3914" s="2" t="s">
        <v>78</v>
      </c>
      <c r="AF3914" s="2">
        <f t="shared" si="493"/>
        <v>0</v>
      </c>
      <c r="AG3914" s="2">
        <v>125.51600000000001</v>
      </c>
      <c r="AH3914" s="2">
        <v>220</v>
      </c>
      <c r="AJ3914" s="2">
        <f t="shared" si="494"/>
        <v>0</v>
      </c>
      <c r="AK3914" s="2">
        <f t="shared" si="492"/>
        <v>64.483999999999995</v>
      </c>
      <c r="AL3914" s="5">
        <f t="shared" si="496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2950</v>
      </c>
      <c r="M3915" s="2" t="s">
        <v>40</v>
      </c>
      <c r="P3915" s="2" t="s">
        <v>188</v>
      </c>
      <c r="Q3915" s="2" t="s">
        <v>1311</v>
      </c>
      <c r="R3915" s="2" t="s">
        <v>1312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1313</v>
      </c>
      <c r="AF3915" s="2">
        <f t="shared" si="493"/>
        <v>0</v>
      </c>
      <c r="AJ3915" s="2">
        <f t="shared" si="494"/>
        <v>0</v>
      </c>
      <c r="AK3915" s="2">
        <f t="shared" si="492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C3916" s="2" t="s">
        <v>3443</v>
      </c>
      <c r="D3916" s="2" t="s">
        <v>2950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5"/>
        <v>0</v>
      </c>
      <c r="Z3916" s="2" t="s">
        <v>3233</v>
      </c>
      <c r="AA3916" s="2" t="s">
        <v>97</v>
      </c>
      <c r="AB3916" s="2" t="s">
        <v>77</v>
      </c>
      <c r="AC3916" s="2" t="s">
        <v>94</v>
      </c>
      <c r="AF3916" s="2">
        <f t="shared" si="493"/>
        <v>0</v>
      </c>
      <c r="AJ3916" s="2">
        <f t="shared" si="494"/>
        <v>0</v>
      </c>
      <c r="AK3916" s="2">
        <f t="shared" si="492"/>
        <v>0</v>
      </c>
      <c r="AL3916" s="5">
        <f t="shared" si="496"/>
        <v>0</v>
      </c>
    </row>
    <row r="3917" spans="1:38" hidden="1" x14ac:dyDescent="0.2">
      <c r="A3917" s="2">
        <v>2026</v>
      </c>
      <c r="B3917" s="2">
        <v>5</v>
      </c>
      <c r="D3917" s="2" t="s">
        <v>2883</v>
      </c>
      <c r="G3917" s="2">
        <v>506647188</v>
      </c>
      <c r="I3917" s="2" t="s">
        <v>2951</v>
      </c>
      <c r="M3917" s="2" t="s">
        <v>40</v>
      </c>
      <c r="O3917" s="2" t="s">
        <v>2952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5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3"/>
        <v>0</v>
      </c>
      <c r="AG3917" s="2">
        <v>35.931699999999999</v>
      </c>
      <c r="AJ3917" s="2">
        <f t="shared" si="494"/>
        <v>0</v>
      </c>
      <c r="AK3917" s="2">
        <f t="shared" si="492"/>
        <v>69.596600000000009</v>
      </c>
      <c r="AL3917" s="5">
        <f t="shared" si="496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2883</v>
      </c>
      <c r="M3918" s="2" t="s">
        <v>40</v>
      </c>
      <c r="O3918" s="2" t="s">
        <v>2952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5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3"/>
        <v>0</v>
      </c>
      <c r="AG3918" s="2">
        <v>5.33</v>
      </c>
      <c r="AJ3918" s="2">
        <f t="shared" si="494"/>
        <v>0</v>
      </c>
      <c r="AK3918" s="2">
        <f t="shared" si="492"/>
        <v>60.230000000000004</v>
      </c>
      <c r="AL3918" s="5">
        <f t="shared" si="496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2137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493"/>
        <v>0</v>
      </c>
      <c r="AG3919" s="2">
        <f>W3919</f>
        <v>-27.400000000000002</v>
      </c>
      <c r="AJ3919" s="2">
        <f t="shared" si="494"/>
        <v>0</v>
      </c>
      <c r="AK3919" s="2">
        <f t="shared" si="492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2137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493"/>
        <v>0</v>
      </c>
      <c r="AG3920" s="2">
        <f>W3920</f>
        <v>0</v>
      </c>
      <c r="AJ3920" s="2">
        <f t="shared" si="494"/>
        <v>0</v>
      </c>
      <c r="AK3920" s="2">
        <f t="shared" si="492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2953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5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3"/>
        <v>0</v>
      </c>
      <c r="AJ3921" s="2">
        <f t="shared" si="494"/>
        <v>0</v>
      </c>
      <c r="AK3921" s="2">
        <f t="shared" si="492"/>
        <v>146.92000000000002</v>
      </c>
      <c r="AL3921" s="5">
        <f t="shared" si="496"/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2954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5"/>
        <v>0.29333333333333333</v>
      </c>
      <c r="Z3922" s="2" t="s">
        <v>3233</v>
      </c>
      <c r="AA3922" s="2" t="s">
        <v>46</v>
      </c>
      <c r="AB3922" s="2" t="s">
        <v>57</v>
      </c>
      <c r="AC3922" s="2" t="s">
        <v>58</v>
      </c>
      <c r="AF3922" s="2">
        <f t="shared" si="493"/>
        <v>0</v>
      </c>
      <c r="AG3922" s="2">
        <v>10.6</v>
      </c>
      <c r="AH3922" s="2">
        <v>18</v>
      </c>
      <c r="AJ3922" s="2">
        <f t="shared" si="494"/>
        <v>0</v>
      </c>
      <c r="AK3922" s="2">
        <f t="shared" si="492"/>
        <v>17.600000000000001</v>
      </c>
      <c r="AL3922" s="5">
        <f t="shared" si="496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2955</v>
      </c>
      <c r="P3923" s="2" t="s">
        <v>43</v>
      </c>
      <c r="Q3923" s="2" t="s">
        <v>2875</v>
      </c>
      <c r="R3923" s="2" t="s">
        <v>2876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5"/>
        <v>0.28439999999999999</v>
      </c>
      <c r="Z3923" s="2" t="s">
        <v>3233</v>
      </c>
      <c r="AA3923" s="2" t="s">
        <v>46</v>
      </c>
      <c r="AB3923" s="2" t="s">
        <v>91</v>
      </c>
      <c r="AC3923" s="2" t="s">
        <v>58</v>
      </c>
      <c r="AF3923" s="2">
        <f t="shared" si="493"/>
        <v>0</v>
      </c>
      <c r="AJ3923" s="2">
        <f t="shared" si="494"/>
        <v>0</v>
      </c>
      <c r="AK3923" s="2">
        <f t="shared" si="492"/>
        <v>14.219999999999999</v>
      </c>
      <c r="AL3923" s="5">
        <f t="shared" si="496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2956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5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3"/>
        <v>0</v>
      </c>
      <c r="AG3924" s="2">
        <v>35.931699999999999</v>
      </c>
      <c r="AJ3924" s="2">
        <f t="shared" si="494"/>
        <v>0</v>
      </c>
      <c r="AK3924" s="2">
        <f t="shared" si="492"/>
        <v>85.316600000000008</v>
      </c>
      <c r="AL3924" s="5">
        <f t="shared" si="496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5"/>
        <v>0.45578623188405798</v>
      </c>
      <c r="Z3925" s="2" t="s">
        <v>3233</v>
      </c>
      <c r="AA3925" s="2" t="s">
        <v>46</v>
      </c>
      <c r="AB3925" s="2" t="s">
        <v>68</v>
      </c>
      <c r="AC3925" s="2" t="s">
        <v>58</v>
      </c>
      <c r="AF3925" s="2">
        <f t="shared" si="493"/>
        <v>0</v>
      </c>
      <c r="AG3925" s="2">
        <v>15.020300000000001</v>
      </c>
      <c r="AH3925" s="2">
        <v>27.6</v>
      </c>
      <c r="AJ3925" s="2">
        <f t="shared" si="494"/>
        <v>0</v>
      </c>
      <c r="AK3925" s="2">
        <f t="shared" si="492"/>
        <v>12.579700000000001</v>
      </c>
      <c r="AL3925" s="5">
        <f t="shared" si="496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2957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2958</v>
      </c>
      <c r="J3926" s="2" t="s">
        <v>2959</v>
      </c>
      <c r="K3926" s="2">
        <v>962543971</v>
      </c>
      <c r="L3926" s="2" t="s">
        <v>134</v>
      </c>
      <c r="M3926" s="2" t="s">
        <v>110</v>
      </c>
      <c r="O3926" s="2" t="s">
        <v>2960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5"/>
        <v>0.42639130434782607</v>
      </c>
      <c r="Z3926" s="2" t="s">
        <v>3233</v>
      </c>
      <c r="AA3926" s="2" t="s">
        <v>76</v>
      </c>
      <c r="AB3926" s="2" t="s">
        <v>77</v>
      </c>
      <c r="AC3926" s="2" t="s">
        <v>78</v>
      </c>
      <c r="AF3926" s="2">
        <f t="shared" si="493"/>
        <v>0</v>
      </c>
      <c r="AG3926" s="2">
        <v>131.93</v>
      </c>
      <c r="AH3926" s="2">
        <v>220</v>
      </c>
      <c r="AJ3926" s="2">
        <f t="shared" si="494"/>
        <v>0</v>
      </c>
      <c r="AK3926" s="2">
        <f t="shared" si="492"/>
        <v>98.07</v>
      </c>
      <c r="AL3926" s="5">
        <f t="shared" si="496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2957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5"/>
        <v>0</v>
      </c>
      <c r="Z3927" s="2" t="s">
        <v>3233</v>
      </c>
      <c r="AA3927" s="2" t="s">
        <v>97</v>
      </c>
      <c r="AB3927" s="2" t="s">
        <v>77</v>
      </c>
      <c r="AC3927" s="2" t="s">
        <v>94</v>
      </c>
      <c r="AF3927" s="2">
        <f t="shared" si="493"/>
        <v>0</v>
      </c>
      <c r="AJ3927" s="2">
        <f t="shared" si="494"/>
        <v>0</v>
      </c>
      <c r="AK3927" s="2">
        <f t="shared" si="492"/>
        <v>0</v>
      </c>
      <c r="AL3927" s="5">
        <f t="shared" si="496"/>
        <v>0</v>
      </c>
    </row>
    <row r="3928" spans="1:38" hidden="1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2961</v>
      </c>
      <c r="P3928" s="2" t="s">
        <v>43</v>
      </c>
      <c r="Q3928" s="2" t="s">
        <v>2929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5"/>
        <v>0.65133333333333332</v>
      </c>
      <c r="Z3928" s="2" t="s">
        <v>3233</v>
      </c>
      <c r="AA3928" s="2" t="s">
        <v>46</v>
      </c>
      <c r="AB3928" s="2" t="s">
        <v>91</v>
      </c>
      <c r="AC3928" s="2" t="s">
        <v>58</v>
      </c>
      <c r="AF3928" s="2">
        <f t="shared" si="493"/>
        <v>0</v>
      </c>
      <c r="AG3928" s="2">
        <v>5.23</v>
      </c>
      <c r="AH3928" s="2">
        <v>10.8</v>
      </c>
      <c r="AJ3928" s="2">
        <f t="shared" si="494"/>
        <v>0</v>
      </c>
      <c r="AK3928" s="2">
        <f t="shared" si="492"/>
        <v>9.77</v>
      </c>
      <c r="AL3928" s="5">
        <f t="shared" si="496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2961</v>
      </c>
      <c r="P3929" s="2" t="s">
        <v>43</v>
      </c>
      <c r="Q3929" s="2" t="s">
        <v>2930</v>
      </c>
      <c r="R3929" s="2" t="s">
        <v>2931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5"/>
        <v>0.80600000000000005</v>
      </c>
      <c r="Z3929" s="2" t="s">
        <v>3233</v>
      </c>
      <c r="AA3929" s="2" t="s">
        <v>46</v>
      </c>
      <c r="AB3929" s="2" t="s">
        <v>91</v>
      </c>
      <c r="AC3929" s="2" t="s">
        <v>58</v>
      </c>
      <c r="AF3929" s="2">
        <f t="shared" si="493"/>
        <v>0</v>
      </c>
      <c r="AG3929" s="2">
        <v>0.97</v>
      </c>
      <c r="AH3929" s="2">
        <v>6</v>
      </c>
      <c r="AJ3929" s="2">
        <f t="shared" si="494"/>
        <v>0</v>
      </c>
      <c r="AK3929" s="2">
        <f t="shared" si="492"/>
        <v>4.03</v>
      </c>
      <c r="AL3929" s="5">
        <f t="shared" si="496"/>
        <v>0.80600000000000005</v>
      </c>
    </row>
    <row r="3930" spans="1:38" hidden="1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5"/>
        <v>0.58491111111111116</v>
      </c>
      <c r="Z3930" s="2" t="s">
        <v>3233</v>
      </c>
      <c r="AA3930" s="2" t="s">
        <v>46</v>
      </c>
      <c r="AB3930" s="2" t="s">
        <v>47</v>
      </c>
      <c r="AC3930" s="2" t="s">
        <v>48</v>
      </c>
      <c r="AF3930" s="2">
        <f t="shared" si="493"/>
        <v>0</v>
      </c>
      <c r="AG3930" s="2">
        <v>3.7357999999999998</v>
      </c>
      <c r="AH3930" s="2">
        <v>9</v>
      </c>
      <c r="AJ3930" s="2">
        <f t="shared" si="494"/>
        <v>0</v>
      </c>
      <c r="AK3930" s="2">
        <f t="shared" si="492"/>
        <v>5.2642000000000007</v>
      </c>
      <c r="AL3930" s="5">
        <f t="shared" si="496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5"/>
        <v>0.41111111111111109</v>
      </c>
      <c r="Z3931" s="2" t="s">
        <v>3233</v>
      </c>
      <c r="AA3931" s="2" t="s">
        <v>46</v>
      </c>
      <c r="AB3931" s="2" t="s">
        <v>57</v>
      </c>
      <c r="AC3931" s="2" t="s">
        <v>58</v>
      </c>
      <c r="AF3931" s="2">
        <f t="shared" si="493"/>
        <v>0</v>
      </c>
      <c r="AG3931" s="2">
        <v>10.6</v>
      </c>
      <c r="AH3931" s="2">
        <v>18</v>
      </c>
      <c r="AJ3931" s="2">
        <f t="shared" si="494"/>
        <v>0</v>
      </c>
      <c r="AK3931" s="2">
        <f t="shared" si="492"/>
        <v>37</v>
      </c>
      <c r="AL3931" s="5">
        <f t="shared" si="496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5"/>
        <v>0.24885496183206102</v>
      </c>
      <c r="Z3932" s="2" t="s">
        <v>3233</v>
      </c>
      <c r="AA3932" s="2" t="s">
        <v>46</v>
      </c>
      <c r="AB3932" s="2" t="s">
        <v>61</v>
      </c>
      <c r="AC3932" s="2" t="s">
        <v>58</v>
      </c>
      <c r="AF3932" s="2">
        <f t="shared" si="493"/>
        <v>0</v>
      </c>
      <c r="AG3932" s="2">
        <v>8.1999999999999993</v>
      </c>
      <c r="AH3932" s="2">
        <v>13</v>
      </c>
      <c r="AJ3932" s="2">
        <f t="shared" si="494"/>
        <v>0</v>
      </c>
      <c r="AK3932" s="2">
        <f t="shared" si="492"/>
        <v>32.599999999999994</v>
      </c>
      <c r="AL3932" s="5">
        <f t="shared" si="496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5"/>
        <v>0.42875000000000008</v>
      </c>
      <c r="Z3933" s="2" t="s">
        <v>3233</v>
      </c>
      <c r="AA3933" s="2" t="s">
        <v>46</v>
      </c>
      <c r="AB3933" s="2" t="s">
        <v>61</v>
      </c>
      <c r="AC3933" s="2" t="s">
        <v>58</v>
      </c>
      <c r="AF3933" s="2">
        <f t="shared" si="493"/>
        <v>0</v>
      </c>
      <c r="AJ3933" s="2">
        <f t="shared" si="494"/>
        <v>0</v>
      </c>
      <c r="AK3933" s="2">
        <f t="shared" si="492"/>
        <v>6.8600000000000012</v>
      </c>
      <c r="AL3933" s="5">
        <f t="shared" si="496"/>
        <v>0.42875000000000008</v>
      </c>
    </row>
    <row r="3934" spans="1:38" hidden="1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5"/>
        <v>0.36923076923076914</v>
      </c>
      <c r="Z3934" s="2" t="s">
        <v>3233</v>
      </c>
      <c r="AA3934" s="2" t="s">
        <v>46</v>
      </c>
      <c r="AB3934" s="2" t="s">
        <v>61</v>
      </c>
      <c r="AC3934" s="2" t="s">
        <v>58</v>
      </c>
      <c r="AF3934" s="2">
        <f t="shared" si="493"/>
        <v>0</v>
      </c>
      <c r="AG3934" s="2">
        <v>8.1999999999999993</v>
      </c>
      <c r="AH3934" s="2">
        <v>13</v>
      </c>
      <c r="AJ3934" s="2">
        <f t="shared" si="494"/>
        <v>0</v>
      </c>
      <c r="AK3934" s="2">
        <f t="shared" si="492"/>
        <v>4.7999999999999989</v>
      </c>
      <c r="AL3934" s="5">
        <f t="shared" si="496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5"/>
        <v>0.42947272727272723</v>
      </c>
      <c r="Z3935" s="2" t="s">
        <v>3233</v>
      </c>
      <c r="AA3935" s="2" t="s">
        <v>76</v>
      </c>
      <c r="AB3935" s="2" t="s">
        <v>77</v>
      </c>
      <c r="AC3935" s="2" t="s">
        <v>78</v>
      </c>
      <c r="AF3935" s="2">
        <f t="shared" si="493"/>
        <v>0</v>
      </c>
      <c r="AG3935" s="2">
        <v>125.51600000000001</v>
      </c>
      <c r="AH3935" s="2">
        <v>220</v>
      </c>
      <c r="AJ3935" s="2">
        <f t="shared" si="494"/>
        <v>0</v>
      </c>
      <c r="AK3935" s="2">
        <f t="shared" si="492"/>
        <v>94.483999999999995</v>
      </c>
      <c r="AL3935" s="5">
        <f t="shared" si="496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5"/>
        <v>1</v>
      </c>
      <c r="Z3936" s="2" t="s">
        <v>3233</v>
      </c>
      <c r="AA3936" s="2" t="s">
        <v>97</v>
      </c>
      <c r="AB3936" s="2" t="s">
        <v>77</v>
      </c>
      <c r="AC3936" s="2" t="s">
        <v>94</v>
      </c>
      <c r="AF3936" s="2">
        <f t="shared" si="493"/>
        <v>0</v>
      </c>
      <c r="AJ3936" s="2">
        <f t="shared" si="494"/>
        <v>0</v>
      </c>
      <c r="AK3936" s="2">
        <f t="shared" si="492"/>
        <v>1.48</v>
      </c>
      <c r="AL3936" s="5">
        <f t="shared" si="496"/>
        <v>1</v>
      </c>
    </row>
    <row r="3937" spans="1:38" hidden="1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2962</v>
      </c>
      <c r="P3937" s="2" t="s">
        <v>1040</v>
      </c>
      <c r="Q3937" s="2" t="s">
        <v>2963</v>
      </c>
      <c r="R3937" s="2" t="s">
        <v>2964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5"/>
        <v>0.35232383808095952</v>
      </c>
      <c r="Z3937" s="2" t="s">
        <v>3233</v>
      </c>
      <c r="AA3937" s="2" t="s">
        <v>76</v>
      </c>
      <c r="AB3937" s="2" t="s">
        <v>77</v>
      </c>
      <c r="AC3937" s="2" t="s">
        <v>1040</v>
      </c>
      <c r="AF3937" s="2">
        <f t="shared" si="493"/>
        <v>0</v>
      </c>
      <c r="AJ3937" s="2">
        <f t="shared" si="494"/>
        <v>0</v>
      </c>
      <c r="AK3937" s="2">
        <f t="shared" si="492"/>
        <v>94</v>
      </c>
      <c r="AL3937" s="5">
        <f t="shared" si="496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2962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5"/>
        <v>0</v>
      </c>
      <c r="Z3938" s="2" t="s">
        <v>3233</v>
      </c>
      <c r="AA3938" s="2" t="s">
        <v>97</v>
      </c>
      <c r="AB3938" s="2" t="s">
        <v>77</v>
      </c>
      <c r="AC3938" s="2" t="s">
        <v>94</v>
      </c>
      <c r="AF3938" s="2">
        <f t="shared" si="493"/>
        <v>0</v>
      </c>
      <c r="AG3938" s="2">
        <v>1.48</v>
      </c>
      <c r="AH3938" s="2">
        <v>1.48</v>
      </c>
      <c r="AJ3938" s="2">
        <f t="shared" si="494"/>
        <v>0</v>
      </c>
      <c r="AK3938" s="2">
        <f t="shared" si="492"/>
        <v>0</v>
      </c>
      <c r="AL3938" s="5">
        <f t="shared" si="496"/>
        <v>0</v>
      </c>
    </row>
    <row r="3939" spans="1:38" hidden="1" x14ac:dyDescent="0.2">
      <c r="A3939" s="2">
        <v>2026</v>
      </c>
      <c r="B3939" s="2">
        <v>5</v>
      </c>
      <c r="D3939" s="2" t="s">
        <v>1907</v>
      </c>
      <c r="G3939" s="2">
        <v>505757486</v>
      </c>
      <c r="I3939" s="2" t="s">
        <v>2965</v>
      </c>
      <c r="M3939" s="2" t="s">
        <v>81</v>
      </c>
      <c r="O3939" s="2" t="s">
        <v>2966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5"/>
        <v>0.38066770186335414</v>
      </c>
      <c r="Z3939" s="2" t="s">
        <v>3233</v>
      </c>
      <c r="AA3939" s="2" t="s">
        <v>76</v>
      </c>
      <c r="AB3939" s="2" t="s">
        <v>77</v>
      </c>
      <c r="AC3939" s="2" t="s">
        <v>78</v>
      </c>
      <c r="AF3939" s="2">
        <f t="shared" si="493"/>
        <v>0</v>
      </c>
      <c r="AG3939" s="2">
        <f>144.14+15.4</f>
        <v>159.54</v>
      </c>
      <c r="AH3939" s="2">
        <v>280</v>
      </c>
      <c r="AJ3939" s="2">
        <f t="shared" si="494"/>
        <v>0</v>
      </c>
      <c r="AK3939" s="2">
        <f t="shared" si="492"/>
        <v>98.060000000000031</v>
      </c>
      <c r="AL3939" s="5">
        <f t="shared" si="496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1907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5"/>
        <v>0</v>
      </c>
      <c r="Z3940" s="2" t="s">
        <v>3233</v>
      </c>
      <c r="AA3940" s="2" t="s">
        <v>97</v>
      </c>
      <c r="AB3940" s="2" t="s">
        <v>77</v>
      </c>
      <c r="AC3940" s="2" t="s">
        <v>94</v>
      </c>
      <c r="AF3940" s="2">
        <f t="shared" si="493"/>
        <v>0</v>
      </c>
      <c r="AJ3940" s="2">
        <f t="shared" si="494"/>
        <v>0</v>
      </c>
      <c r="AK3940" s="2">
        <f t="shared" si="492"/>
        <v>0</v>
      </c>
      <c r="AL3940" s="5">
        <f t="shared" si="496"/>
        <v>0</v>
      </c>
    </row>
    <row r="3941" spans="1:38" hidden="1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3"/>
        <v>0</v>
      </c>
      <c r="AJ3941" s="2">
        <f t="shared" si="494"/>
        <v>0</v>
      </c>
    </row>
    <row r="3942" spans="1:38" hidden="1" x14ac:dyDescent="0.2">
      <c r="A3942" s="2">
        <v>2026</v>
      </c>
      <c r="B3942" s="2">
        <v>5</v>
      </c>
      <c r="D3942" s="2" t="s">
        <v>2967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2968</v>
      </c>
      <c r="J3942" s="2" t="s">
        <v>2969</v>
      </c>
      <c r="K3942" s="2">
        <v>966567958</v>
      </c>
      <c r="L3942" s="2" t="s">
        <v>345</v>
      </c>
      <c r="M3942" s="2" t="s">
        <v>81</v>
      </c>
      <c r="O3942" s="2" t="s">
        <v>2970</v>
      </c>
      <c r="P3942" s="2" t="s">
        <v>283</v>
      </c>
      <c r="Q3942" s="2" t="s">
        <v>1439</v>
      </c>
      <c r="R3942" s="2" t="s">
        <v>1440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7">(T3942-W3942)/T3942</f>
        <v>0.25579710144927542</v>
      </c>
      <c r="Z3942" s="2" t="s">
        <v>3233</v>
      </c>
      <c r="AA3942" s="2" t="s">
        <v>72</v>
      </c>
      <c r="AB3942" s="2" t="s">
        <v>120</v>
      </c>
      <c r="AC3942" s="2" t="s">
        <v>120</v>
      </c>
      <c r="AF3942" s="2">
        <f t="shared" si="493"/>
        <v>0</v>
      </c>
      <c r="AG3942" s="2">
        <v>5.1349999999999998</v>
      </c>
      <c r="AJ3942" s="2">
        <f t="shared" si="494"/>
        <v>0</v>
      </c>
      <c r="AK3942" s="2">
        <f t="shared" si="492"/>
        <v>17.650000000000006</v>
      </c>
      <c r="AL3942" s="5">
        <f t="shared" ref="AL3942:AL3947" si="498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2967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2968</v>
      </c>
      <c r="J3943" s="2" t="s">
        <v>2969</v>
      </c>
      <c r="K3943" s="2">
        <v>966567958</v>
      </c>
      <c r="L3943" s="2" t="s">
        <v>345</v>
      </c>
      <c r="M3943" s="2" t="s">
        <v>81</v>
      </c>
      <c r="O3943" s="2" t="s">
        <v>2970</v>
      </c>
      <c r="P3943" s="2" t="s">
        <v>283</v>
      </c>
      <c r="Q3943" s="2" t="s">
        <v>1593</v>
      </c>
      <c r="R3943" s="2" t="s">
        <v>1594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7"/>
        <v>0.25579710144927542</v>
      </c>
      <c r="Z3943" s="2" t="s">
        <v>3233</v>
      </c>
      <c r="AA3943" s="2" t="s">
        <v>72</v>
      </c>
      <c r="AB3943" s="2" t="s">
        <v>120</v>
      </c>
      <c r="AC3943" s="2" t="s">
        <v>120</v>
      </c>
      <c r="AF3943" s="2">
        <f t="shared" si="493"/>
        <v>0</v>
      </c>
      <c r="AG3943" s="2">
        <v>5.1349999999999998</v>
      </c>
      <c r="AJ3943" s="2">
        <f t="shared" si="494"/>
        <v>0</v>
      </c>
      <c r="AK3943" s="2">
        <f t="shared" si="492"/>
        <v>17.650000000000006</v>
      </c>
      <c r="AL3943" s="5">
        <f t="shared" si="498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2967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2968</v>
      </c>
      <c r="J3944" s="2" t="s">
        <v>2969</v>
      </c>
      <c r="K3944" s="2">
        <v>966567958</v>
      </c>
      <c r="L3944" s="2" t="s">
        <v>345</v>
      </c>
      <c r="M3944" s="2" t="s">
        <v>81</v>
      </c>
      <c r="O3944" s="2" t="s">
        <v>2970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7"/>
        <v>0.31428571428571428</v>
      </c>
      <c r="Z3944" s="2" t="s">
        <v>3233</v>
      </c>
      <c r="AA3944" s="2" t="s">
        <v>46</v>
      </c>
      <c r="AB3944" s="2" t="s">
        <v>47</v>
      </c>
      <c r="AC3944" s="2" t="s">
        <v>48</v>
      </c>
      <c r="AF3944" s="2">
        <f t="shared" si="493"/>
        <v>0</v>
      </c>
      <c r="AG3944" s="2">
        <v>14.4</v>
      </c>
      <c r="AH3944" s="2">
        <v>21</v>
      </c>
      <c r="AJ3944" s="2">
        <f t="shared" si="494"/>
        <v>0</v>
      </c>
      <c r="AK3944" s="2">
        <f t="shared" si="492"/>
        <v>6.6</v>
      </c>
      <c r="AL3944" s="5">
        <f t="shared" si="498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2967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2968</v>
      </c>
      <c r="J3945" s="2" t="s">
        <v>2969</v>
      </c>
      <c r="K3945" s="2">
        <v>966567958</v>
      </c>
      <c r="L3945" s="2" t="s">
        <v>345</v>
      </c>
      <c r="M3945" s="2" t="s">
        <v>81</v>
      </c>
      <c r="O3945" s="2" t="s">
        <v>2970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7"/>
        <v>0.61904761904761907</v>
      </c>
      <c r="Z3945" s="2" t="s">
        <v>3233</v>
      </c>
      <c r="AA3945" s="2" t="s">
        <v>46</v>
      </c>
      <c r="AB3945" s="2" t="s">
        <v>47</v>
      </c>
      <c r="AC3945" s="2" t="s">
        <v>48</v>
      </c>
      <c r="AF3945" s="2">
        <f t="shared" si="493"/>
        <v>0</v>
      </c>
      <c r="AJ3945" s="2">
        <f t="shared" si="494"/>
        <v>0</v>
      </c>
      <c r="AK3945" s="2">
        <f t="shared" si="492"/>
        <v>26</v>
      </c>
      <c r="AL3945" s="5">
        <f t="shared" si="498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2967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2968</v>
      </c>
      <c r="J3946" s="2" t="s">
        <v>2969</v>
      </c>
      <c r="K3946" s="2">
        <v>966567958</v>
      </c>
      <c r="L3946" s="2" t="s">
        <v>345</v>
      </c>
      <c r="M3946" s="2" t="s">
        <v>81</v>
      </c>
      <c r="O3946" s="2" t="s">
        <v>2970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7"/>
        <v>0.48696666666666666</v>
      </c>
      <c r="Z3946" s="2" t="s">
        <v>3233</v>
      </c>
      <c r="AA3946" s="2" t="s">
        <v>46</v>
      </c>
      <c r="AB3946" s="2" t="s">
        <v>57</v>
      </c>
      <c r="AC3946" s="2" t="s">
        <v>58</v>
      </c>
      <c r="AF3946" s="2">
        <f t="shared" si="493"/>
        <v>0</v>
      </c>
      <c r="AG3946" s="2">
        <v>9.2346000000000004</v>
      </c>
      <c r="AJ3946" s="2">
        <f t="shared" si="494"/>
        <v>0</v>
      </c>
      <c r="AK3946" s="2">
        <f t="shared" si="492"/>
        <v>8.7653999999999996</v>
      </c>
      <c r="AL3946" s="5">
        <f t="shared" si="498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2967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2968</v>
      </c>
      <c r="J3947" s="2" t="s">
        <v>2969</v>
      </c>
      <c r="K3947" s="2">
        <v>966567958</v>
      </c>
      <c r="L3947" s="2" t="s">
        <v>345</v>
      </c>
      <c r="M3947" s="2" t="s">
        <v>81</v>
      </c>
      <c r="O3947" s="2" t="s">
        <v>2970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7"/>
        <v>0.25454545454545452</v>
      </c>
      <c r="Z3947" s="2" t="s">
        <v>3233</v>
      </c>
      <c r="AA3947" s="2" t="s">
        <v>46</v>
      </c>
      <c r="AB3947" s="2" t="s">
        <v>61</v>
      </c>
      <c r="AC3947" s="2" t="s">
        <v>58</v>
      </c>
      <c r="AF3947" s="2">
        <f t="shared" si="493"/>
        <v>0</v>
      </c>
      <c r="AG3947" s="2">
        <v>8.1999999999999993</v>
      </c>
      <c r="AH3947" s="2">
        <v>13</v>
      </c>
      <c r="AJ3947" s="2">
        <f t="shared" si="494"/>
        <v>0</v>
      </c>
      <c r="AK3947" s="2">
        <f t="shared" si="492"/>
        <v>28</v>
      </c>
      <c r="AL3947" s="5">
        <f t="shared" si="498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2967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2968</v>
      </c>
      <c r="J3948" s="2" t="s">
        <v>2969</v>
      </c>
      <c r="K3948" s="2">
        <v>966567958</v>
      </c>
      <c r="L3948" s="2" t="s">
        <v>345</v>
      </c>
      <c r="M3948" s="2" t="s">
        <v>81</v>
      </c>
      <c r="O3948" s="2" t="s">
        <v>2970</v>
      </c>
      <c r="P3948" s="2" t="s">
        <v>43</v>
      </c>
      <c r="Q3948" s="2" t="s">
        <v>2971</v>
      </c>
      <c r="R3948" s="2" t="s">
        <v>2972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3233</v>
      </c>
      <c r="AA3948" s="2" t="s">
        <v>46</v>
      </c>
      <c r="AB3948" s="2" t="s">
        <v>57</v>
      </c>
      <c r="AC3948" s="2" t="s">
        <v>58</v>
      </c>
      <c r="AF3948" s="2">
        <f t="shared" si="493"/>
        <v>0</v>
      </c>
      <c r="AG3948" s="2">
        <v>19.68</v>
      </c>
      <c r="AJ3948" s="2">
        <f t="shared" si="494"/>
        <v>0</v>
      </c>
      <c r="AK3948" s="2">
        <f t="shared" si="492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2967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2968</v>
      </c>
      <c r="J3949" s="2" t="s">
        <v>2969</v>
      </c>
      <c r="K3949" s="2">
        <v>966567958</v>
      </c>
      <c r="L3949" s="2" t="s">
        <v>345</v>
      </c>
      <c r="M3949" s="2" t="s">
        <v>81</v>
      </c>
      <c r="O3949" s="2" t="s">
        <v>2970</v>
      </c>
      <c r="P3949" s="2" t="s">
        <v>43</v>
      </c>
      <c r="Q3949" s="2" t="s">
        <v>2973</v>
      </c>
      <c r="R3949" s="2" t="s">
        <v>2974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3233</v>
      </c>
      <c r="AA3949" s="2" t="s">
        <v>46</v>
      </c>
      <c r="AB3949" s="2" t="s">
        <v>57</v>
      </c>
      <c r="AC3949" s="2" t="s">
        <v>58</v>
      </c>
      <c r="AF3949" s="2">
        <f t="shared" si="493"/>
        <v>0</v>
      </c>
      <c r="AG3949" s="2">
        <v>11.525</v>
      </c>
      <c r="AJ3949" s="2">
        <f t="shared" si="494"/>
        <v>0</v>
      </c>
      <c r="AK3949" s="2">
        <f t="shared" si="492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2244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2975</v>
      </c>
      <c r="J3950" s="2" t="s">
        <v>2976</v>
      </c>
      <c r="K3950" s="2">
        <v>939310247</v>
      </c>
      <c r="L3950" s="2" t="s">
        <v>462</v>
      </c>
      <c r="M3950" s="2" t="s">
        <v>40</v>
      </c>
      <c r="O3950" s="2" t="s">
        <v>2977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3"/>
        <v>0</v>
      </c>
      <c r="AG3950" s="2">
        <v>25.2</v>
      </c>
      <c r="AJ3950" s="2">
        <f t="shared" si="494"/>
        <v>0</v>
      </c>
      <c r="AK3950" s="2">
        <f t="shared" si="492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2978</v>
      </c>
      <c r="P3951" s="2" t="s">
        <v>115</v>
      </c>
      <c r="Q3951" s="2" t="s">
        <v>1583</v>
      </c>
      <c r="R3951" s="2" t="s">
        <v>1584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3"/>
        <v>0</v>
      </c>
      <c r="AG3951" s="2">
        <f>4893.23+171</f>
        <v>5064.2299999999996</v>
      </c>
      <c r="AJ3951" s="2">
        <f t="shared" si="494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2979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9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493"/>
        <v>0</v>
      </c>
      <c r="AG3952" s="2">
        <v>6468.73</v>
      </c>
      <c r="AJ3952" s="2">
        <f t="shared" si="494"/>
        <v>0</v>
      </c>
      <c r="AK3952" s="2">
        <f t="shared" ref="AK3952:AK3983" si="500">T3952-W3952</f>
        <v>3461.2700000000004</v>
      </c>
      <c r="AL3952" s="5">
        <f t="shared" ref="AL3952:AL3983" si="501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2980</v>
      </c>
      <c r="P3953" s="2" t="s">
        <v>3237</v>
      </c>
      <c r="Q3953" s="2" t="s">
        <v>2981</v>
      </c>
      <c r="R3953" s="2" t="s">
        <v>2982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9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3237</v>
      </c>
      <c r="AF3953" s="2">
        <f t="shared" si="493"/>
        <v>0</v>
      </c>
      <c r="AJ3953" s="2">
        <f t="shared" si="494"/>
        <v>0</v>
      </c>
      <c r="AK3953" s="2">
        <f t="shared" si="500"/>
        <v>1163.8</v>
      </c>
      <c r="AL3953" s="5">
        <f t="shared" si="501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2573</v>
      </c>
      <c r="P3954" s="2" t="s">
        <v>73</v>
      </c>
      <c r="Q3954" s="2" t="s">
        <v>1452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9"/>
        <v>0.46762608695652175</v>
      </c>
      <c r="Z3954" s="2" t="s">
        <v>3233</v>
      </c>
      <c r="AA3954" s="2" t="s">
        <v>76</v>
      </c>
      <c r="AB3954" s="2" t="s">
        <v>77</v>
      </c>
      <c r="AC3954" s="2" t="s">
        <v>78</v>
      </c>
      <c r="AF3954" s="2">
        <f t="shared" si="493"/>
        <v>0</v>
      </c>
      <c r="AG3954" s="2">
        <v>122.446</v>
      </c>
      <c r="AH3954" s="2">
        <v>230</v>
      </c>
      <c r="AJ3954" s="2">
        <f t="shared" si="494"/>
        <v>0</v>
      </c>
      <c r="AK3954" s="2">
        <f t="shared" si="500"/>
        <v>107.554</v>
      </c>
      <c r="AL3954" s="5">
        <f t="shared" si="501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2573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9"/>
        <v>0</v>
      </c>
      <c r="Z3955" s="2" t="s">
        <v>3233</v>
      </c>
      <c r="AA3955" s="2" t="s">
        <v>97</v>
      </c>
      <c r="AB3955" s="2" t="s">
        <v>77</v>
      </c>
      <c r="AC3955" s="2" t="s">
        <v>94</v>
      </c>
      <c r="AF3955" s="2">
        <f t="shared" si="493"/>
        <v>0</v>
      </c>
      <c r="AJ3955" s="2">
        <f t="shared" si="494"/>
        <v>0</v>
      </c>
      <c r="AK3955" s="2">
        <f t="shared" si="500"/>
        <v>0</v>
      </c>
      <c r="AL3955" s="5">
        <f t="shared" si="501"/>
        <v>0</v>
      </c>
    </row>
    <row r="3956" spans="1:38" hidden="1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2983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9"/>
        <v>0.44777500000000003</v>
      </c>
      <c r="Z3956" s="2" t="s">
        <v>3233</v>
      </c>
      <c r="AA3956" s="2" t="s">
        <v>46</v>
      </c>
      <c r="AB3956" s="2" t="s">
        <v>47</v>
      </c>
      <c r="AC3956" s="2" t="s">
        <v>48</v>
      </c>
      <c r="AF3956" s="2">
        <f t="shared" si="493"/>
        <v>0</v>
      </c>
      <c r="AG3956" s="2">
        <v>6.6266999999999996</v>
      </c>
      <c r="AH3956" s="2">
        <v>12</v>
      </c>
      <c r="AJ3956" s="2">
        <f t="shared" si="494"/>
        <v>0</v>
      </c>
      <c r="AK3956" s="2">
        <f t="shared" si="500"/>
        <v>5.3733000000000004</v>
      </c>
      <c r="AL3956" s="5">
        <f t="shared" si="501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2983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9"/>
        <v>0.41111111111111115</v>
      </c>
      <c r="Z3957" s="2" t="s">
        <v>3233</v>
      </c>
      <c r="AA3957" s="2" t="s">
        <v>46</v>
      </c>
      <c r="AB3957" s="2" t="s">
        <v>57</v>
      </c>
      <c r="AC3957" s="2" t="s">
        <v>58</v>
      </c>
      <c r="AF3957" s="2">
        <f t="shared" si="493"/>
        <v>0</v>
      </c>
      <c r="AG3957" s="2">
        <v>10.6</v>
      </c>
      <c r="AH3957" s="2">
        <v>18</v>
      </c>
      <c r="AJ3957" s="2">
        <f t="shared" si="494"/>
        <v>0</v>
      </c>
      <c r="AK3957" s="2">
        <f t="shared" si="500"/>
        <v>14.8</v>
      </c>
      <c r="AL3957" s="5">
        <f t="shared" si="501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2984</v>
      </c>
      <c r="P3958" s="2" t="s">
        <v>115</v>
      </c>
      <c r="Q3958" s="2" t="s">
        <v>1386</v>
      </c>
      <c r="R3958" s="2" t="s">
        <v>1387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9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3"/>
        <v>0</v>
      </c>
      <c r="AG3958" s="2">
        <v>71.381</v>
      </c>
      <c r="AJ3958" s="2">
        <f t="shared" si="494"/>
        <v>0</v>
      </c>
      <c r="AK3958" s="2">
        <f t="shared" si="500"/>
        <v>81.028999999999996</v>
      </c>
      <c r="AL3958" s="5">
        <f t="shared" si="501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2984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9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3"/>
        <v>0</v>
      </c>
      <c r="AG3959" s="2">
        <f>9.75+0.63</f>
        <v>10.38</v>
      </c>
      <c r="AJ3959" s="2">
        <f t="shared" si="494"/>
        <v>0</v>
      </c>
      <c r="AK3959" s="2">
        <f t="shared" si="500"/>
        <v>22.23</v>
      </c>
      <c r="AL3959" s="5">
        <f t="shared" si="501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1258</v>
      </c>
      <c r="P3960" s="2" t="s">
        <v>73</v>
      </c>
      <c r="Q3960" s="2" t="s">
        <v>1452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9"/>
        <v>0.46762608695652175</v>
      </c>
      <c r="Z3960" s="2" t="s">
        <v>3233</v>
      </c>
      <c r="AA3960" s="2" t="s">
        <v>76</v>
      </c>
      <c r="AB3960" s="2" t="s">
        <v>77</v>
      </c>
      <c r="AC3960" s="2" t="s">
        <v>78</v>
      </c>
      <c r="AF3960" s="2">
        <f t="shared" si="493"/>
        <v>0</v>
      </c>
      <c r="AG3960" s="2">
        <v>122.446</v>
      </c>
      <c r="AH3960" s="2">
        <v>230</v>
      </c>
      <c r="AJ3960" s="2">
        <f t="shared" si="494"/>
        <v>0</v>
      </c>
      <c r="AK3960" s="2">
        <f t="shared" si="500"/>
        <v>107.554</v>
      </c>
      <c r="AL3960" s="5">
        <f t="shared" si="501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1258</v>
      </c>
      <c r="P3961" s="2" t="s">
        <v>1040</v>
      </c>
      <c r="Q3961" s="2" t="s">
        <v>2985</v>
      </c>
      <c r="R3961" s="2" t="s">
        <v>2986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9"/>
        <v>0.41537037037037039</v>
      </c>
      <c r="Z3961" s="2" t="s">
        <v>3233</v>
      </c>
      <c r="AA3961" s="2" t="s">
        <v>76</v>
      </c>
      <c r="AB3961" s="2" t="s">
        <v>77</v>
      </c>
      <c r="AC3961" s="2" t="s">
        <v>1040</v>
      </c>
      <c r="AF3961" s="2">
        <f t="shared" si="493"/>
        <v>0</v>
      </c>
      <c r="AJ3961" s="2">
        <f t="shared" si="494"/>
        <v>0</v>
      </c>
      <c r="AK3961" s="2">
        <f t="shared" si="500"/>
        <v>112.15</v>
      </c>
      <c r="AL3961" s="5">
        <f t="shared" si="501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1258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9"/>
        <v>0</v>
      </c>
      <c r="Z3962" s="2" t="s">
        <v>3233</v>
      </c>
      <c r="AA3962" s="2" t="s">
        <v>97</v>
      </c>
      <c r="AB3962" s="2" t="s">
        <v>77</v>
      </c>
      <c r="AC3962" s="2" t="s">
        <v>94</v>
      </c>
      <c r="AF3962" s="2">
        <f t="shared" si="493"/>
        <v>0</v>
      </c>
      <c r="AJ3962" s="2">
        <f t="shared" si="494"/>
        <v>0</v>
      </c>
      <c r="AK3962" s="2">
        <f t="shared" si="500"/>
        <v>0</v>
      </c>
      <c r="AL3962" s="5">
        <f t="shared" si="501"/>
        <v>0</v>
      </c>
    </row>
    <row r="3963" spans="1:38" hidden="1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2987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9"/>
        <v>1</v>
      </c>
      <c r="Z3963" s="2" t="s">
        <v>120</v>
      </c>
      <c r="AA3963" s="2" t="s">
        <v>493</v>
      </c>
      <c r="AF3963" s="2">
        <f t="shared" si="493"/>
        <v>0</v>
      </c>
      <c r="AJ3963" s="2">
        <f t="shared" si="494"/>
        <v>0</v>
      </c>
      <c r="AK3963" s="2">
        <f t="shared" si="500"/>
        <v>1357.82</v>
      </c>
      <c r="AL3963" s="5">
        <f t="shared" si="501"/>
        <v>1</v>
      </c>
    </row>
    <row r="3964" spans="1:38" hidden="1" x14ac:dyDescent="0.2">
      <c r="A3964" s="2">
        <v>2026</v>
      </c>
      <c r="B3964" s="2">
        <v>5</v>
      </c>
      <c r="D3964" s="2" t="s">
        <v>2988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2989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2990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9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3"/>
        <v>0</v>
      </c>
      <c r="AG3964" s="2">
        <f>88.6+1.81</f>
        <v>90.41</v>
      </c>
      <c r="AJ3964" s="2">
        <f t="shared" si="494"/>
        <v>0</v>
      </c>
      <c r="AK3964" s="2">
        <f t="shared" si="500"/>
        <v>97.509999999999991</v>
      </c>
      <c r="AL3964" s="5">
        <f t="shared" si="501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2988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2989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2990</v>
      </c>
      <c r="P3965" s="2" t="s">
        <v>115</v>
      </c>
      <c r="Q3965" s="2" t="s">
        <v>796</v>
      </c>
      <c r="R3965" s="2" t="s">
        <v>2991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9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3"/>
        <v>0</v>
      </c>
      <c r="AG3965" s="2">
        <f>12.87+0.3</f>
        <v>13.17</v>
      </c>
      <c r="AJ3965" s="2">
        <f t="shared" si="494"/>
        <v>0</v>
      </c>
      <c r="AK3965" s="2">
        <f t="shared" si="500"/>
        <v>15.209999999999999</v>
      </c>
      <c r="AL3965" s="5">
        <f t="shared" si="501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2988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2989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2990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9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493"/>
        <v>0</v>
      </c>
      <c r="AG3966" s="2">
        <f>W3966</f>
        <v>37.6</v>
      </c>
      <c r="AJ3966" s="2">
        <f t="shared" si="494"/>
        <v>0</v>
      </c>
      <c r="AK3966" s="2">
        <f t="shared" si="500"/>
        <v>56.4</v>
      </c>
      <c r="AL3966" s="5">
        <f t="shared" si="501"/>
        <v>0.6</v>
      </c>
    </row>
    <row r="3967" spans="1:38" hidden="1" x14ac:dyDescent="0.2">
      <c r="A3967" s="2">
        <v>2026</v>
      </c>
      <c r="B3967" s="2">
        <v>5</v>
      </c>
      <c r="D3967" s="2" t="s">
        <v>2988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2989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2990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9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493"/>
        <v>0</v>
      </c>
      <c r="AG3967" s="2">
        <f>W3967</f>
        <v>27.5</v>
      </c>
      <c r="AJ3967" s="2">
        <f t="shared" si="494"/>
        <v>0</v>
      </c>
      <c r="AK3967" s="2">
        <f t="shared" si="500"/>
        <v>27.5</v>
      </c>
      <c r="AL3967" s="5">
        <f t="shared" si="501"/>
        <v>0.5</v>
      </c>
    </row>
    <row r="3968" spans="1:38" hidden="1" x14ac:dyDescent="0.2">
      <c r="A3968" s="2">
        <v>2026</v>
      </c>
      <c r="B3968" s="2">
        <v>5</v>
      </c>
      <c r="D3968" s="2" t="s">
        <v>2988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2989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2990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9"/>
        <v>1</v>
      </c>
      <c r="Z3968" s="2" t="s">
        <v>118</v>
      </c>
      <c r="AA3968" s="2" t="s">
        <v>1313</v>
      </c>
      <c r="AF3968" s="2">
        <f t="shared" si="493"/>
        <v>0</v>
      </c>
      <c r="AJ3968" s="2">
        <f t="shared" si="494"/>
        <v>0</v>
      </c>
      <c r="AK3968" s="2">
        <f t="shared" si="500"/>
        <v>87.5</v>
      </c>
      <c r="AL3968" s="5">
        <f t="shared" si="501"/>
        <v>1</v>
      </c>
    </row>
    <row r="3969" spans="1:38" hidden="1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2992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9"/>
        <v>0.4729523809523809</v>
      </c>
      <c r="Z3969" s="2" t="s">
        <v>3233</v>
      </c>
      <c r="AA3969" s="2" t="s">
        <v>76</v>
      </c>
      <c r="AB3969" s="2" t="s">
        <v>77</v>
      </c>
      <c r="AC3969" s="2" t="s">
        <v>78</v>
      </c>
      <c r="AF3969" s="2">
        <f t="shared" si="493"/>
        <v>0</v>
      </c>
      <c r="AG3969" s="2">
        <v>110.68</v>
      </c>
      <c r="AH3969" s="2">
        <v>210</v>
      </c>
      <c r="AJ3969" s="2">
        <f t="shared" si="494"/>
        <v>0</v>
      </c>
      <c r="AK3969" s="2">
        <f t="shared" si="500"/>
        <v>198.64</v>
      </c>
      <c r="AL3969" s="5">
        <f t="shared" si="501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2992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9"/>
        <v>0</v>
      </c>
      <c r="Z3970" s="2" t="s">
        <v>3233</v>
      </c>
      <c r="AA3970" s="2" t="s">
        <v>97</v>
      </c>
      <c r="AB3970" s="2" t="s">
        <v>77</v>
      </c>
      <c r="AC3970" s="2" t="s">
        <v>94</v>
      </c>
      <c r="AF3970" s="2">
        <f t="shared" si="493"/>
        <v>0</v>
      </c>
      <c r="AJ3970" s="2">
        <f t="shared" si="494"/>
        <v>0</v>
      </c>
      <c r="AK3970" s="2">
        <f t="shared" si="500"/>
        <v>0</v>
      </c>
      <c r="AL3970" s="5">
        <f t="shared" si="501"/>
        <v>0</v>
      </c>
    </row>
    <row r="3971" spans="1:38" hidden="1" x14ac:dyDescent="0.2">
      <c r="A3971" s="2">
        <v>2026</v>
      </c>
      <c r="B3971" s="2">
        <v>5</v>
      </c>
      <c r="D3971" s="2" t="s">
        <v>2993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3233</v>
      </c>
      <c r="AA3971" s="2" t="s">
        <v>76</v>
      </c>
      <c r="AB3971" s="2" t="s">
        <v>77</v>
      </c>
      <c r="AC3971" s="2" t="s">
        <v>78</v>
      </c>
      <c r="AF3971" s="2">
        <f t="shared" ref="AF3971:AF4034" si="502">AJ3971</f>
        <v>0</v>
      </c>
      <c r="AG3971" s="2">
        <v>125.51600000000001</v>
      </c>
      <c r="AH3971" s="2">
        <v>220</v>
      </c>
      <c r="AJ3971" s="2">
        <f t="shared" ref="AJ3971:AJ4034" si="503">AI3971*T3971</f>
        <v>0</v>
      </c>
      <c r="AK3971" s="2">
        <f t="shared" si="500"/>
        <v>94.483999999999995</v>
      </c>
      <c r="AL3971" s="5">
        <f t="shared" si="501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2993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4">(T3972-W3972)/T3972</f>
        <v>0</v>
      </c>
      <c r="Z3972" s="2" t="s">
        <v>3233</v>
      </c>
      <c r="AA3972" s="2" t="s">
        <v>97</v>
      </c>
      <c r="AB3972" s="2" t="s">
        <v>77</v>
      </c>
      <c r="AC3972" s="2" t="s">
        <v>94</v>
      </c>
      <c r="AF3972" s="2">
        <f t="shared" si="502"/>
        <v>0</v>
      </c>
      <c r="AJ3972" s="2">
        <f t="shared" si="503"/>
        <v>0</v>
      </c>
      <c r="AK3972" s="2">
        <f t="shared" si="500"/>
        <v>0</v>
      </c>
      <c r="AL3972" s="5">
        <f t="shared" si="501"/>
        <v>0</v>
      </c>
    </row>
    <row r="3973" spans="1:38" hidden="1" x14ac:dyDescent="0.2">
      <c r="A3973" s="2">
        <v>2026</v>
      </c>
      <c r="B3973" s="2">
        <v>5</v>
      </c>
      <c r="D3973" s="2" t="s">
        <v>2994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4"/>
        <v>0.44659999999999994</v>
      </c>
      <c r="Z3973" s="2" t="s">
        <v>3233</v>
      </c>
      <c r="AA3973" s="2" t="s">
        <v>76</v>
      </c>
      <c r="AB3973" s="2" t="s">
        <v>77</v>
      </c>
      <c r="AC3973" s="2" t="s">
        <v>78</v>
      </c>
      <c r="AF3973" s="2">
        <f t="shared" si="502"/>
        <v>0</v>
      </c>
      <c r="AG3973" s="2">
        <v>110.68</v>
      </c>
      <c r="AH3973" s="2">
        <v>210</v>
      </c>
      <c r="AJ3973" s="2">
        <f t="shared" si="503"/>
        <v>0</v>
      </c>
      <c r="AK3973" s="2">
        <f t="shared" si="500"/>
        <v>89.32</v>
      </c>
      <c r="AL3973" s="5">
        <f t="shared" si="501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2994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4"/>
        <v>0</v>
      </c>
      <c r="Z3974" s="2" t="s">
        <v>3233</v>
      </c>
      <c r="AA3974" s="2" t="s">
        <v>97</v>
      </c>
      <c r="AB3974" s="2" t="s">
        <v>77</v>
      </c>
      <c r="AC3974" s="2" t="s">
        <v>94</v>
      </c>
      <c r="AF3974" s="2">
        <f t="shared" si="502"/>
        <v>0</v>
      </c>
      <c r="AJ3974" s="2">
        <f t="shared" si="503"/>
        <v>0</v>
      </c>
      <c r="AK3974" s="2">
        <f t="shared" si="500"/>
        <v>0</v>
      </c>
      <c r="AL3974" s="5">
        <f t="shared" si="501"/>
        <v>0</v>
      </c>
    </row>
    <row r="3975" spans="1:38" hidden="1" x14ac:dyDescent="0.2">
      <c r="A3975" s="2">
        <v>2026</v>
      </c>
      <c r="B3975" s="2">
        <v>5</v>
      </c>
      <c r="D3975" s="2" t="s">
        <v>1598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1599</v>
      </c>
      <c r="J3975" s="2" t="s">
        <v>1600</v>
      </c>
      <c r="L3975" s="2" t="s">
        <v>202</v>
      </c>
      <c r="M3975" s="2" t="s">
        <v>81</v>
      </c>
      <c r="O3975" s="2" t="s">
        <v>2995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4"/>
        <v>0.37426086956521742</v>
      </c>
      <c r="Z3975" s="2" t="s">
        <v>3233</v>
      </c>
      <c r="AA3975" s="2" t="s">
        <v>76</v>
      </c>
      <c r="AB3975" s="2" t="s">
        <v>77</v>
      </c>
      <c r="AC3975" s="2" t="s">
        <v>78</v>
      </c>
      <c r="AF3975" s="2">
        <f t="shared" si="502"/>
        <v>0</v>
      </c>
      <c r="AG3975" s="2">
        <v>143.91999999999999</v>
      </c>
      <c r="AJ3975" s="2">
        <f t="shared" si="503"/>
        <v>0</v>
      </c>
      <c r="AK3975" s="2">
        <f t="shared" si="500"/>
        <v>86.080000000000013</v>
      </c>
      <c r="AL3975" s="5">
        <f t="shared" si="501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1598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1599</v>
      </c>
      <c r="J3976" s="2" t="s">
        <v>1600</v>
      </c>
      <c r="L3976" s="2" t="s">
        <v>202</v>
      </c>
      <c r="M3976" s="2" t="s">
        <v>81</v>
      </c>
      <c r="O3976" s="2" t="s">
        <v>2995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4"/>
        <v>0</v>
      </c>
      <c r="Z3976" s="2" t="s">
        <v>3233</v>
      </c>
      <c r="AA3976" s="2" t="s">
        <v>97</v>
      </c>
      <c r="AB3976" s="2" t="s">
        <v>77</v>
      </c>
      <c r="AC3976" s="2" t="s">
        <v>94</v>
      </c>
      <c r="AF3976" s="2">
        <f t="shared" si="502"/>
        <v>0</v>
      </c>
      <c r="AG3976" s="2">
        <v>1.48</v>
      </c>
      <c r="AH3976" s="2">
        <v>1.48</v>
      </c>
      <c r="AJ3976" s="2">
        <f t="shared" si="503"/>
        <v>0</v>
      </c>
      <c r="AK3976" s="2">
        <f t="shared" si="500"/>
        <v>0</v>
      </c>
      <c r="AL3976" s="5">
        <f t="shared" si="501"/>
        <v>0</v>
      </c>
    </row>
    <row r="3977" spans="1:38" hidden="1" x14ac:dyDescent="0.2">
      <c r="A3977" s="2">
        <v>2026</v>
      </c>
      <c r="B3977" s="2">
        <v>5</v>
      </c>
      <c r="D3977" s="2" t="s">
        <v>1725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3241</v>
      </c>
      <c r="J3977" s="2" t="s">
        <v>3242</v>
      </c>
      <c r="L3977" s="2" t="s">
        <v>572</v>
      </c>
      <c r="M3977" s="2" t="s">
        <v>81</v>
      </c>
      <c r="O3977" s="2" t="s">
        <v>3244</v>
      </c>
      <c r="P3977" s="2" t="s">
        <v>73</v>
      </c>
      <c r="Q3977" s="2" t="s">
        <v>2420</v>
      </c>
      <c r="R3977" s="2" t="s">
        <v>2421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4"/>
        <v>0.53546153846153843</v>
      </c>
      <c r="Z3977" s="2" t="s">
        <v>3233</v>
      </c>
      <c r="AA3977" s="2" t="s">
        <v>76</v>
      </c>
      <c r="AB3977" s="2" t="s">
        <v>77</v>
      </c>
      <c r="AC3977" s="2" t="s">
        <v>78</v>
      </c>
      <c r="AF3977" s="2">
        <f t="shared" si="502"/>
        <v>0</v>
      </c>
      <c r="AG3977" s="2">
        <v>120.78</v>
      </c>
      <c r="AH3977" s="2">
        <v>210</v>
      </c>
      <c r="AJ3977" s="2">
        <f t="shared" si="503"/>
        <v>0</v>
      </c>
      <c r="AK3977" s="2">
        <f t="shared" si="500"/>
        <v>139.22</v>
      </c>
      <c r="AL3977" s="5">
        <f t="shared" si="501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1725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3241</v>
      </c>
      <c r="J3978" s="2" t="s">
        <v>3242</v>
      </c>
      <c r="L3978" s="2" t="s">
        <v>572</v>
      </c>
      <c r="M3978" s="2" t="s">
        <v>81</v>
      </c>
      <c r="O3978" s="2" t="s">
        <v>3244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4"/>
        <v>0</v>
      </c>
      <c r="Z3978" s="2" t="s">
        <v>3233</v>
      </c>
      <c r="AA3978" s="2" t="s">
        <v>97</v>
      </c>
      <c r="AB3978" s="2" t="s">
        <v>77</v>
      </c>
      <c r="AC3978" s="2" t="s">
        <v>94</v>
      </c>
      <c r="AF3978" s="2">
        <f t="shared" si="502"/>
        <v>0</v>
      </c>
      <c r="AJ3978" s="2">
        <f t="shared" si="503"/>
        <v>0</v>
      </c>
      <c r="AK3978" s="2">
        <f t="shared" si="500"/>
        <v>0</v>
      </c>
      <c r="AL3978" s="5">
        <f t="shared" si="501"/>
        <v>0</v>
      </c>
    </row>
    <row r="3979" spans="1:38" hidden="1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4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02"/>
        <v>0</v>
      </c>
      <c r="AG3979" s="2">
        <f>W3979</f>
        <v>24</v>
      </c>
      <c r="AJ3979" s="2">
        <f t="shared" si="503"/>
        <v>0</v>
      </c>
      <c r="AK3979" s="2">
        <f t="shared" si="500"/>
        <v>36</v>
      </c>
      <c r="AL3979" s="5">
        <f t="shared" si="501"/>
        <v>0.6</v>
      </c>
    </row>
    <row r="3980" spans="1:38" hidden="1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4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02"/>
        <v>0</v>
      </c>
      <c r="AG3980" s="2">
        <f>W3980</f>
        <v>27.5</v>
      </c>
      <c r="AJ3980" s="2">
        <f t="shared" si="503"/>
        <v>0</v>
      </c>
      <c r="AK3980" s="2">
        <f t="shared" si="500"/>
        <v>27.5</v>
      </c>
      <c r="AL3980" s="5">
        <f t="shared" si="501"/>
        <v>0.5</v>
      </c>
    </row>
    <row r="3981" spans="1:38" hidden="1" x14ac:dyDescent="0.2">
      <c r="A3981" s="2">
        <v>2026</v>
      </c>
      <c r="B3981" s="2">
        <v>5</v>
      </c>
      <c r="D3981" s="2" t="s">
        <v>2055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2785</v>
      </c>
      <c r="J3981" s="2" t="s">
        <v>2826</v>
      </c>
      <c r="K3981" s="2">
        <v>914732950</v>
      </c>
      <c r="L3981" s="2" t="s">
        <v>481</v>
      </c>
      <c r="M3981" s="2" t="s">
        <v>40</v>
      </c>
      <c r="O3981" s="2" t="s">
        <v>2996</v>
      </c>
      <c r="P3981" s="2" t="s">
        <v>1609</v>
      </c>
      <c r="Q3981" s="2" t="s">
        <v>1607</v>
      </c>
      <c r="R3981" s="2" t="s">
        <v>1608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1609</v>
      </c>
      <c r="AF3981" s="2">
        <f t="shared" si="502"/>
        <v>0</v>
      </c>
      <c r="AG3981" s="2">
        <v>10.15</v>
      </c>
      <c r="AJ3981" s="2">
        <f t="shared" si="503"/>
        <v>0</v>
      </c>
      <c r="AK3981" s="2">
        <f t="shared" si="500"/>
        <v>-68.86</v>
      </c>
      <c r="AL3981" s="5">
        <f t="shared" si="501"/>
        <v>1</v>
      </c>
    </row>
    <row r="3982" spans="1:38" hidden="1" x14ac:dyDescent="0.2">
      <c r="A3982" s="2">
        <v>2026</v>
      </c>
      <c r="B3982" s="2">
        <v>5</v>
      </c>
      <c r="D3982" s="2" t="s">
        <v>2055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5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02"/>
        <v>0</v>
      </c>
      <c r="AG3982" s="2">
        <f>W3982</f>
        <v>58.800000000000004</v>
      </c>
      <c r="AJ3982" s="2">
        <f t="shared" si="503"/>
        <v>0</v>
      </c>
      <c r="AK3982" s="2">
        <f t="shared" si="500"/>
        <v>88.199999999999989</v>
      </c>
      <c r="AL3982" s="5">
        <f t="shared" si="501"/>
        <v>0.6</v>
      </c>
    </row>
    <row r="3983" spans="1:38" hidden="1" x14ac:dyDescent="0.2">
      <c r="A3983" s="2">
        <v>2026</v>
      </c>
      <c r="B3983" s="2">
        <v>5</v>
      </c>
      <c r="D3983" s="2" t="s">
        <v>2055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5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02"/>
        <v>0</v>
      </c>
      <c r="AG3983" s="2">
        <f>W3983</f>
        <v>27.5</v>
      </c>
      <c r="AJ3983" s="2">
        <f t="shared" si="503"/>
        <v>0</v>
      </c>
      <c r="AK3983" s="2">
        <f t="shared" si="500"/>
        <v>27.5</v>
      </c>
      <c r="AL3983" s="5">
        <f t="shared" si="501"/>
        <v>0.5</v>
      </c>
    </row>
    <row r="3984" spans="1:38" hidden="1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5"/>
        <v>0.37321392902323725</v>
      </c>
      <c r="Z3984" s="2" t="s">
        <v>3233</v>
      </c>
      <c r="AA3984" s="2" t="s">
        <v>76</v>
      </c>
      <c r="AB3984" s="2" t="s">
        <v>77</v>
      </c>
      <c r="AC3984" s="2" t="s">
        <v>78</v>
      </c>
      <c r="AF3984" s="2">
        <f t="shared" si="502"/>
        <v>0</v>
      </c>
      <c r="AG3984" s="2">
        <v>125.51600000000001</v>
      </c>
      <c r="AH3984" s="2">
        <v>220</v>
      </c>
      <c r="AJ3984" s="2">
        <f t="shared" si="503"/>
        <v>0</v>
      </c>
      <c r="AK3984" s="2">
        <f t="shared" ref="AK3984:AK4015" si="506">T3984-W3984</f>
        <v>224.21199999999999</v>
      </c>
      <c r="AL3984" s="5">
        <f t="shared" ref="AL3984:AL4015" si="507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1348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5"/>
        <v>0.56271602692377654</v>
      </c>
      <c r="Z3985" s="2" t="s">
        <v>3233</v>
      </c>
      <c r="AA3985" s="2" t="s">
        <v>76</v>
      </c>
      <c r="AB3985" s="2" t="s">
        <v>77</v>
      </c>
      <c r="AC3985" s="2" t="s">
        <v>78</v>
      </c>
      <c r="AF3985" s="2">
        <f t="shared" si="502"/>
        <v>0</v>
      </c>
      <c r="AJ3985" s="2">
        <f t="shared" si="503"/>
        <v>0</v>
      </c>
      <c r="AK3985" s="2">
        <f t="shared" si="506"/>
        <v>123.72999999999999</v>
      </c>
      <c r="AL3985" s="5">
        <f t="shared" si="507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5"/>
        <v>0.47693761814744795</v>
      </c>
      <c r="Z3986" s="2" t="s">
        <v>3233</v>
      </c>
      <c r="AA3986" s="2" t="s">
        <v>76</v>
      </c>
      <c r="AB3986" s="2" t="s">
        <v>77</v>
      </c>
      <c r="AC3986" s="2" t="s">
        <v>78</v>
      </c>
      <c r="AF3986" s="2">
        <f t="shared" si="502"/>
        <v>0</v>
      </c>
      <c r="AG3986" s="2">
        <v>110.68</v>
      </c>
      <c r="AH3986" s="2">
        <v>210</v>
      </c>
      <c r="AJ3986" s="2">
        <f t="shared" si="503"/>
        <v>0</v>
      </c>
      <c r="AK3986" s="2">
        <f t="shared" si="506"/>
        <v>100.91999999999999</v>
      </c>
      <c r="AL3986" s="5">
        <f t="shared" si="507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5"/>
        <v>0</v>
      </c>
      <c r="Z3987" s="2" t="s">
        <v>3233</v>
      </c>
      <c r="AA3987" s="2" t="s">
        <v>97</v>
      </c>
      <c r="AB3987" s="2" t="s">
        <v>77</v>
      </c>
      <c r="AC3987" s="2" t="s">
        <v>94</v>
      </c>
      <c r="AF3987" s="2">
        <f t="shared" si="502"/>
        <v>0</v>
      </c>
      <c r="AJ3987" s="2">
        <f t="shared" si="503"/>
        <v>0</v>
      </c>
      <c r="AK3987" s="2">
        <f t="shared" si="506"/>
        <v>0</v>
      </c>
      <c r="AL3987" s="5">
        <f t="shared" si="507"/>
        <v>0</v>
      </c>
    </row>
    <row r="3988" spans="1:38" hidden="1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2997</v>
      </c>
      <c r="R3988" s="2" t="s">
        <v>2998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5"/>
        <v>0.41106099656357398</v>
      </c>
      <c r="Z3988" s="2" t="s">
        <v>3233</v>
      </c>
      <c r="AA3988" s="2" t="s">
        <v>76</v>
      </c>
      <c r="AB3988" s="2" t="s">
        <v>77</v>
      </c>
      <c r="AC3988" s="2" t="s">
        <v>1040</v>
      </c>
      <c r="AF3988" s="2">
        <f t="shared" si="502"/>
        <v>0</v>
      </c>
      <c r="AJ3988" s="2">
        <f t="shared" si="503"/>
        <v>0</v>
      </c>
      <c r="AK3988" s="2">
        <f t="shared" si="506"/>
        <v>191.39000000000004</v>
      </c>
      <c r="AL3988" s="5">
        <f t="shared" si="507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5"/>
        <v>0.23333333333333334</v>
      </c>
      <c r="Z3989" s="2" t="s">
        <v>170</v>
      </c>
      <c r="AA3989" s="2" t="s">
        <v>170</v>
      </c>
      <c r="AF3989" s="2">
        <f t="shared" si="502"/>
        <v>0</v>
      </c>
      <c r="AJ3989" s="2">
        <f t="shared" si="503"/>
        <v>0</v>
      </c>
      <c r="AK3989" s="2">
        <f t="shared" si="506"/>
        <v>7</v>
      </c>
      <c r="AL3989" s="5">
        <f t="shared" si="507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5"/>
        <v>0</v>
      </c>
      <c r="Z3990" s="2" t="s">
        <v>3233</v>
      </c>
      <c r="AA3990" s="2" t="s">
        <v>97</v>
      </c>
      <c r="AB3990" s="2" t="s">
        <v>77</v>
      </c>
      <c r="AC3990" s="2" t="s">
        <v>94</v>
      </c>
      <c r="AF3990" s="2">
        <f t="shared" si="502"/>
        <v>0</v>
      </c>
      <c r="AJ3990" s="2">
        <f t="shared" si="503"/>
        <v>0</v>
      </c>
      <c r="AK3990" s="2">
        <f t="shared" si="506"/>
        <v>0</v>
      </c>
      <c r="AL3990" s="5">
        <f t="shared" si="507"/>
        <v>0</v>
      </c>
    </row>
    <row r="3991" spans="1:38" hidden="1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5"/>
        <v>0.12471332542506916</v>
      </c>
      <c r="Z3991" s="2" t="s">
        <v>3233</v>
      </c>
      <c r="AA3991" s="2" t="s">
        <v>76</v>
      </c>
      <c r="AB3991" s="2" t="s">
        <v>77</v>
      </c>
      <c r="AC3991" s="2" t="s">
        <v>78</v>
      </c>
      <c r="AF3991" s="2">
        <f t="shared" si="502"/>
        <v>0</v>
      </c>
      <c r="AG3991" s="2">
        <v>110.68</v>
      </c>
      <c r="AH3991" s="2">
        <v>210</v>
      </c>
      <c r="AJ3991" s="2">
        <f t="shared" si="503"/>
        <v>0</v>
      </c>
      <c r="AK3991" s="2">
        <f t="shared" si="506"/>
        <v>31.539999999999992</v>
      </c>
      <c r="AL3991" s="5">
        <f t="shared" si="507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5"/>
        <v>0</v>
      </c>
      <c r="Z3992" s="2" t="s">
        <v>3233</v>
      </c>
      <c r="AA3992" s="2" t="s">
        <v>97</v>
      </c>
      <c r="AB3992" s="2" t="s">
        <v>77</v>
      </c>
      <c r="AC3992" s="2" t="s">
        <v>94</v>
      </c>
      <c r="AF3992" s="2">
        <f t="shared" si="502"/>
        <v>0</v>
      </c>
      <c r="AJ3992" s="2">
        <f t="shared" si="503"/>
        <v>0</v>
      </c>
      <c r="AK3992" s="2">
        <f t="shared" si="506"/>
        <v>0</v>
      </c>
      <c r="AL3992" s="5">
        <f t="shared" si="507"/>
        <v>0</v>
      </c>
    </row>
    <row r="3993" spans="1:38" hidden="1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5"/>
        <v>0.42947272727272723</v>
      </c>
      <c r="Z3993" s="2" t="s">
        <v>3233</v>
      </c>
      <c r="AA3993" s="2" t="s">
        <v>76</v>
      </c>
      <c r="AB3993" s="2" t="s">
        <v>77</v>
      </c>
      <c r="AC3993" s="2" t="s">
        <v>78</v>
      </c>
      <c r="AF3993" s="2">
        <f t="shared" si="502"/>
        <v>0</v>
      </c>
      <c r="AG3993" s="2">
        <v>125.51600000000001</v>
      </c>
      <c r="AH3993" s="2">
        <v>220</v>
      </c>
      <c r="AJ3993" s="2">
        <f t="shared" si="503"/>
        <v>0</v>
      </c>
      <c r="AK3993" s="2">
        <f t="shared" si="506"/>
        <v>94.483999999999995</v>
      </c>
      <c r="AL3993" s="5">
        <f t="shared" si="507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5"/>
        <v>0</v>
      </c>
      <c r="Z3994" s="2" t="s">
        <v>3233</v>
      </c>
      <c r="AA3994" s="2" t="s">
        <v>97</v>
      </c>
      <c r="AB3994" s="2" t="s">
        <v>77</v>
      </c>
      <c r="AC3994" s="2" t="s">
        <v>94</v>
      </c>
      <c r="AF3994" s="2">
        <f t="shared" si="502"/>
        <v>0</v>
      </c>
      <c r="AJ3994" s="2">
        <f t="shared" si="503"/>
        <v>0</v>
      </c>
      <c r="AK3994" s="2">
        <f t="shared" si="506"/>
        <v>0</v>
      </c>
      <c r="AL3994" s="5">
        <f t="shared" si="507"/>
        <v>0</v>
      </c>
    </row>
    <row r="3995" spans="1:38" hidden="1" x14ac:dyDescent="0.2">
      <c r="A3995" s="2">
        <v>2026</v>
      </c>
      <c r="B3995" s="2">
        <v>5</v>
      </c>
      <c r="D3995" s="2" t="s">
        <v>1627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1628</v>
      </c>
      <c r="J3995" s="2" t="s">
        <v>1629</v>
      </c>
      <c r="L3995" s="2" t="s">
        <v>294</v>
      </c>
      <c r="M3995" s="2" t="s">
        <v>40</v>
      </c>
      <c r="O3995" s="2" t="s">
        <v>2999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5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2"/>
        <v>0</v>
      </c>
      <c r="AJ3995" s="2">
        <f t="shared" si="503"/>
        <v>0</v>
      </c>
      <c r="AK3995" s="2">
        <f t="shared" si="506"/>
        <v>9.715799999999998</v>
      </c>
      <c r="AL3995" s="5">
        <f t="shared" si="507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1627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1628</v>
      </c>
      <c r="J3996" s="2" t="s">
        <v>1629</v>
      </c>
      <c r="L3996" s="2" t="s">
        <v>294</v>
      </c>
      <c r="M3996" s="2" t="s">
        <v>40</v>
      </c>
      <c r="O3996" s="2" t="s">
        <v>2999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5"/>
        <v>1</v>
      </c>
      <c r="Z3996" s="2" t="s">
        <v>170</v>
      </c>
      <c r="AA3996" s="2" t="s">
        <v>170</v>
      </c>
      <c r="AF3996" s="2">
        <f t="shared" si="502"/>
        <v>0</v>
      </c>
      <c r="AJ3996" s="2">
        <f t="shared" si="503"/>
        <v>0</v>
      </c>
      <c r="AK3996" s="2">
        <f t="shared" si="506"/>
        <v>5</v>
      </c>
      <c r="AL3996" s="5">
        <f t="shared" si="507"/>
        <v>1</v>
      </c>
    </row>
    <row r="3997" spans="1:38" hidden="1" x14ac:dyDescent="0.2">
      <c r="A3997" s="2">
        <v>2026</v>
      </c>
      <c r="B3997" s="2">
        <v>5</v>
      </c>
      <c r="D3997" s="2" t="s">
        <v>1284</v>
      </c>
      <c r="E3997" s="2" t="s">
        <v>184</v>
      </c>
      <c r="F3997" s="2" t="s">
        <v>3000</v>
      </c>
      <c r="G3997" s="2">
        <v>517805383</v>
      </c>
      <c r="H3997" s="2" t="s">
        <v>40</v>
      </c>
      <c r="I3997" s="2" t="s">
        <v>100</v>
      </c>
      <c r="J3997" s="2" t="s">
        <v>3001</v>
      </c>
      <c r="K3997" s="2">
        <v>964651239</v>
      </c>
      <c r="L3997" s="2" t="s">
        <v>100</v>
      </c>
      <c r="M3997" s="2" t="s">
        <v>40</v>
      </c>
      <c r="O3997" s="2" t="s">
        <v>3002</v>
      </c>
      <c r="P3997" s="2" t="s">
        <v>283</v>
      </c>
      <c r="Q3997" s="2" t="s">
        <v>3003</v>
      </c>
      <c r="R3997" s="2" t="s">
        <v>3004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5"/>
        <v>0.31578947368421051</v>
      </c>
      <c r="Z3997" s="2" t="s">
        <v>118</v>
      </c>
      <c r="AA3997" s="2" t="s">
        <v>182</v>
      </c>
      <c r="AB3997" s="2" t="s">
        <v>3389</v>
      </c>
      <c r="AC3997" s="2" t="s">
        <v>1330</v>
      </c>
      <c r="AF3997" s="2">
        <f t="shared" si="502"/>
        <v>0</v>
      </c>
      <c r="AG3997" s="2">
        <v>773.5</v>
      </c>
      <c r="AJ3997" s="2">
        <f t="shared" si="503"/>
        <v>0</v>
      </c>
      <c r="AK3997" s="2">
        <f t="shared" si="506"/>
        <v>357</v>
      </c>
      <c r="AL3997" s="5">
        <f t="shared" si="507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3005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3006</v>
      </c>
      <c r="J3998" s="2" t="s">
        <v>3007</v>
      </c>
      <c r="K3998" s="2">
        <v>969030161</v>
      </c>
      <c r="L3998" s="2" t="s">
        <v>3008</v>
      </c>
      <c r="M3998" s="2" t="s">
        <v>40</v>
      </c>
      <c r="O3998" s="2" t="s">
        <v>3009</v>
      </c>
      <c r="P3998" s="2" t="s">
        <v>115</v>
      </c>
      <c r="Q3998" s="2" t="s">
        <v>1474</v>
      </c>
      <c r="R3998" s="2" t="s">
        <v>1475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5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2"/>
        <v>0</v>
      </c>
      <c r="AG3998" s="2">
        <v>343.38</v>
      </c>
      <c r="AJ3998" s="2">
        <f t="shared" si="503"/>
        <v>0</v>
      </c>
      <c r="AK3998" s="2">
        <f t="shared" si="506"/>
        <v>347.23</v>
      </c>
      <c r="AL3998" s="5">
        <f t="shared" si="507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3005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3006</v>
      </c>
      <c r="J3999" s="2" t="s">
        <v>3007</v>
      </c>
      <c r="K3999" s="2">
        <v>969030161</v>
      </c>
      <c r="L3999" s="2" t="s">
        <v>3008</v>
      </c>
      <c r="M3999" s="2" t="s">
        <v>40</v>
      </c>
      <c r="O3999" s="2" t="s">
        <v>3009</v>
      </c>
      <c r="P3999" s="2" t="s">
        <v>115</v>
      </c>
      <c r="Q3999" s="2" t="s">
        <v>1583</v>
      </c>
      <c r="R3999" s="2" t="s">
        <v>1584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5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2"/>
        <v>0</v>
      </c>
      <c r="AG3999" s="2">
        <f>4893.23+171</f>
        <v>5064.2299999999996</v>
      </c>
      <c r="AJ3999" s="2">
        <f t="shared" si="503"/>
        <v>0</v>
      </c>
      <c r="AK3999" s="2">
        <f t="shared" si="506"/>
        <v>1925.7700000000004</v>
      </c>
      <c r="AL3999" s="5">
        <f t="shared" si="507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2340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3010</v>
      </c>
      <c r="L4000" s="2" t="s">
        <v>178</v>
      </c>
      <c r="M4000" s="2" t="s">
        <v>41</v>
      </c>
      <c r="O4000" s="2" t="s">
        <v>3011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5"/>
        <v>0.34034999999999999</v>
      </c>
      <c r="Z4000" s="2" t="s">
        <v>3233</v>
      </c>
      <c r="AA4000" s="2" t="s">
        <v>76</v>
      </c>
      <c r="AB4000" s="2" t="s">
        <v>77</v>
      </c>
      <c r="AC4000" s="2" t="s">
        <v>78</v>
      </c>
      <c r="AF4000" s="2">
        <f t="shared" si="502"/>
        <v>0</v>
      </c>
      <c r="AG4000" s="2">
        <v>131.93</v>
      </c>
      <c r="AH4000" s="2">
        <v>220</v>
      </c>
      <c r="AJ4000" s="2">
        <f t="shared" si="503"/>
        <v>0</v>
      </c>
      <c r="AK4000" s="2">
        <f t="shared" si="506"/>
        <v>68.069999999999993</v>
      </c>
      <c r="AL4000" s="5">
        <f t="shared" si="507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2340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5"/>
        <v>0</v>
      </c>
      <c r="Z4001" s="2" t="s">
        <v>3233</v>
      </c>
      <c r="AA4001" s="2" t="s">
        <v>97</v>
      </c>
      <c r="AB4001" s="2" t="s">
        <v>77</v>
      </c>
      <c r="AC4001" s="2" t="s">
        <v>94</v>
      </c>
      <c r="AF4001" s="2">
        <f t="shared" si="502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3012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3247</v>
      </c>
      <c r="L4002" s="2" t="s">
        <v>113</v>
      </c>
      <c r="M4002" s="2" t="s">
        <v>110</v>
      </c>
      <c r="O4002" s="2" t="s">
        <v>3248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5"/>
        <v>0.45165454545454548</v>
      </c>
      <c r="Z4002" s="2" t="s">
        <v>3233</v>
      </c>
      <c r="AA4002" s="2" t="s">
        <v>76</v>
      </c>
      <c r="AB4002" s="2" t="s">
        <v>77</v>
      </c>
      <c r="AC4002" s="2" t="s">
        <v>78</v>
      </c>
      <c r="AF4002" s="2">
        <f t="shared" si="502"/>
        <v>0</v>
      </c>
      <c r="AG4002" s="2">
        <v>120.636</v>
      </c>
      <c r="AH4002" s="2">
        <v>220</v>
      </c>
      <c r="AJ4002" s="2">
        <f t="shared" si="503"/>
        <v>0</v>
      </c>
      <c r="AK4002" s="2">
        <f t="shared" si="506"/>
        <v>99.364000000000004</v>
      </c>
      <c r="AL4002" s="5">
        <f t="shared" si="507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3012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3247</v>
      </c>
      <c r="L4003" s="2" t="s">
        <v>113</v>
      </c>
      <c r="M4003" s="2" t="s">
        <v>110</v>
      </c>
      <c r="O4003" s="2" t="s">
        <v>3248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5"/>
        <v>0</v>
      </c>
      <c r="Z4003" s="2" t="s">
        <v>3233</v>
      </c>
      <c r="AA4003" s="2" t="s">
        <v>97</v>
      </c>
      <c r="AB4003" s="2" t="s">
        <v>77</v>
      </c>
      <c r="AC4003" s="2" t="s">
        <v>94</v>
      </c>
      <c r="AF4003" s="2">
        <f t="shared" si="502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3013</v>
      </c>
      <c r="P4004" s="2" t="s">
        <v>115</v>
      </c>
      <c r="Q4004" s="2" t="s">
        <v>2217</v>
      </c>
      <c r="R4004" s="2" t="s">
        <v>2218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5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2"/>
        <v>0</v>
      </c>
      <c r="AG4004" s="2">
        <f>78.74+0.63</f>
        <v>79.36999999999999</v>
      </c>
      <c r="AJ4004" s="2">
        <f t="shared" si="503"/>
        <v>0</v>
      </c>
      <c r="AK4004" s="2">
        <f t="shared" si="506"/>
        <v>73.650000000000006</v>
      </c>
      <c r="AL4004" s="5">
        <f t="shared" si="507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5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2"/>
        <v>0</v>
      </c>
      <c r="AG4005" s="2">
        <f>78.74+0.63</f>
        <v>79.36999999999999</v>
      </c>
      <c r="AJ4005" s="2">
        <f t="shared" si="503"/>
        <v>0</v>
      </c>
      <c r="AK4005" s="2">
        <f t="shared" si="506"/>
        <v>9.9999999999994316E-2</v>
      </c>
      <c r="AL4005" s="5">
        <f t="shared" si="507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3014</v>
      </c>
      <c r="R4006" s="2" t="s">
        <v>3015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5"/>
        <v>1</v>
      </c>
      <c r="Z4006" s="2" t="s">
        <v>105</v>
      </c>
      <c r="AA4006" s="2" t="s">
        <v>617</v>
      </c>
      <c r="AB4006" s="2" t="s">
        <v>3445</v>
      </c>
      <c r="AC4006" s="2" t="s">
        <v>115</v>
      </c>
      <c r="AF4006" s="2">
        <f t="shared" si="502"/>
        <v>0</v>
      </c>
      <c r="AJ4006" s="2">
        <f t="shared" si="503"/>
        <v>0</v>
      </c>
      <c r="AK4006" s="2">
        <f t="shared" si="506"/>
        <v>3990</v>
      </c>
      <c r="AL4006" s="5">
        <f t="shared" si="507"/>
        <v>1</v>
      </c>
    </row>
    <row r="4007" spans="1:38" hidden="1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3016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5"/>
        <v>0.47838888888888892</v>
      </c>
      <c r="Z4007" s="2" t="s">
        <v>3233</v>
      </c>
      <c r="AA4007" s="2" t="s">
        <v>46</v>
      </c>
      <c r="AB4007" s="2" t="s">
        <v>61</v>
      </c>
      <c r="AC4007" s="2" t="s">
        <v>58</v>
      </c>
      <c r="AF4007" s="2">
        <f t="shared" si="502"/>
        <v>0</v>
      </c>
      <c r="AG4007" s="2">
        <v>3.7555999999999998</v>
      </c>
      <c r="AH4007" s="2">
        <v>7.2</v>
      </c>
      <c r="AJ4007" s="2">
        <f t="shared" si="503"/>
        <v>0</v>
      </c>
      <c r="AK4007" s="2">
        <f t="shared" si="506"/>
        <v>51.666000000000004</v>
      </c>
      <c r="AL4007" s="5">
        <f t="shared" si="507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5"/>
        <v>0.62926666666666664</v>
      </c>
      <c r="Z4008" s="2" t="s">
        <v>3233</v>
      </c>
      <c r="AA4008" s="2" t="s">
        <v>46</v>
      </c>
      <c r="AB4008" s="2" t="s">
        <v>61</v>
      </c>
      <c r="AC4008" s="2" t="s">
        <v>58</v>
      </c>
      <c r="AF4008" s="2">
        <f t="shared" si="502"/>
        <v>0</v>
      </c>
      <c r="AG4008" s="2">
        <v>1.1122000000000001</v>
      </c>
      <c r="AH4008" s="2">
        <v>3</v>
      </c>
      <c r="AJ4008" s="2">
        <f t="shared" si="503"/>
        <v>0</v>
      </c>
      <c r="AK4008" s="2">
        <f t="shared" si="506"/>
        <v>37.756</v>
      </c>
      <c r="AL4008" s="5">
        <f t="shared" si="507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5"/>
        <v>0.38692653061224486</v>
      </c>
      <c r="Z4009" s="2" t="s">
        <v>3233</v>
      </c>
      <c r="AA4009" s="2" t="s">
        <v>46</v>
      </c>
      <c r="AB4009" s="2" t="s">
        <v>68</v>
      </c>
      <c r="AC4009" s="2" t="s">
        <v>58</v>
      </c>
      <c r="AF4009" s="2">
        <f t="shared" si="502"/>
        <v>0</v>
      </c>
      <c r="AG4009" s="2">
        <v>15.020300000000001</v>
      </c>
      <c r="AH4009" s="2">
        <v>27.6</v>
      </c>
      <c r="AJ4009" s="2">
        <f t="shared" si="503"/>
        <v>0</v>
      </c>
      <c r="AK4009" s="2">
        <f t="shared" si="506"/>
        <v>18.959399999999999</v>
      </c>
      <c r="AL4009" s="5">
        <f t="shared" si="507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3017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5"/>
        <v>0.34714285714285725</v>
      </c>
      <c r="Z4010" s="2" t="s">
        <v>3233</v>
      </c>
      <c r="AA4010" s="2" t="s">
        <v>46</v>
      </c>
      <c r="AB4010" s="2" t="s">
        <v>61</v>
      </c>
      <c r="AC4010" s="2" t="s">
        <v>58</v>
      </c>
      <c r="AF4010" s="2">
        <f t="shared" si="502"/>
        <v>0</v>
      </c>
      <c r="AJ4010" s="2">
        <f t="shared" si="503"/>
        <v>0</v>
      </c>
      <c r="AK4010" s="2">
        <f t="shared" si="506"/>
        <v>4.8600000000000012</v>
      </c>
      <c r="AL4010" s="5">
        <f t="shared" si="507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3017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5"/>
        <v>1</v>
      </c>
      <c r="Z4011" s="2" t="s">
        <v>170</v>
      </c>
      <c r="AA4011" s="2" t="s">
        <v>170</v>
      </c>
      <c r="AF4011" s="2">
        <f t="shared" si="502"/>
        <v>0</v>
      </c>
      <c r="AJ4011" s="2">
        <f t="shared" si="503"/>
        <v>0</v>
      </c>
      <c r="AK4011" s="2">
        <f t="shared" si="506"/>
        <v>5</v>
      </c>
      <c r="AL4011" s="5">
        <f t="shared" si="507"/>
        <v>1</v>
      </c>
    </row>
    <row r="4012" spans="1:38" hidden="1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5"/>
        <v>0.31428571428571428</v>
      </c>
      <c r="Z4012" s="2" t="s">
        <v>3233</v>
      </c>
      <c r="AA4012" s="2" t="s">
        <v>46</v>
      </c>
      <c r="AB4012" s="2" t="s">
        <v>47</v>
      </c>
      <c r="AC4012" s="2" t="s">
        <v>48</v>
      </c>
      <c r="AF4012" s="2">
        <f t="shared" si="502"/>
        <v>0</v>
      </c>
      <c r="AG4012" s="2">
        <v>14.4</v>
      </c>
      <c r="AH4012" s="2">
        <v>21</v>
      </c>
      <c r="AJ4012" s="2">
        <f t="shared" si="503"/>
        <v>0</v>
      </c>
      <c r="AK4012" s="2">
        <f t="shared" si="506"/>
        <v>6.6</v>
      </c>
      <c r="AL4012" s="5">
        <f t="shared" si="507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5"/>
        <v>0.25454545454545452</v>
      </c>
      <c r="Z4013" s="2" t="s">
        <v>3233</v>
      </c>
      <c r="AA4013" s="2" t="s">
        <v>46</v>
      </c>
      <c r="AB4013" s="2" t="s">
        <v>61</v>
      </c>
      <c r="AC4013" s="2" t="s">
        <v>58</v>
      </c>
      <c r="AF4013" s="2">
        <f t="shared" si="502"/>
        <v>0</v>
      </c>
      <c r="AG4013" s="2">
        <v>8.1999999999999993</v>
      </c>
      <c r="AH4013" s="2">
        <v>13</v>
      </c>
      <c r="AJ4013" s="2">
        <f t="shared" si="503"/>
        <v>0</v>
      </c>
      <c r="AK4013" s="2">
        <f t="shared" si="506"/>
        <v>28</v>
      </c>
      <c r="AL4013" s="5">
        <f t="shared" si="507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5"/>
        <v>1</v>
      </c>
      <c r="Z4014" s="2" t="s">
        <v>3233</v>
      </c>
      <c r="AA4014" s="2" t="s">
        <v>88</v>
      </c>
      <c r="AB4014" s="2" t="s">
        <v>61</v>
      </c>
      <c r="AC4014" s="2" t="s">
        <v>85</v>
      </c>
      <c r="AF4014" s="2">
        <f t="shared" si="502"/>
        <v>0</v>
      </c>
      <c r="AJ4014" s="2">
        <f t="shared" si="503"/>
        <v>0</v>
      </c>
      <c r="AK4014" s="2">
        <f t="shared" si="506"/>
        <v>10.15</v>
      </c>
      <c r="AL4014" s="5">
        <f t="shared" si="507"/>
        <v>1</v>
      </c>
    </row>
    <row r="4015" spans="1:38" hidden="1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5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02"/>
        <v>0</v>
      </c>
      <c r="AG4015" s="2">
        <f>W4015</f>
        <v>30.400000000000002</v>
      </c>
      <c r="AJ4015" s="2">
        <f t="shared" si="503"/>
        <v>0</v>
      </c>
      <c r="AK4015" s="2">
        <f t="shared" si="506"/>
        <v>45.599999999999994</v>
      </c>
      <c r="AL4015" s="5">
        <f t="shared" si="507"/>
        <v>0.6</v>
      </c>
    </row>
    <row r="4016" spans="1:38" hidden="1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5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02"/>
        <v>0</v>
      </c>
      <c r="AG4016" s="2">
        <f>W4016</f>
        <v>27.5</v>
      </c>
      <c r="AJ4016" s="2">
        <f t="shared" si="503"/>
        <v>0</v>
      </c>
      <c r="AK4016" s="2">
        <f t="shared" ref="AK4016:AK4044" si="508">T4016-W4016</f>
        <v>27.5</v>
      </c>
      <c r="AL4016" s="5">
        <f t="shared" ref="AL4016:AL4044" si="509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5"/>
        <v>1</v>
      </c>
      <c r="Z4017" s="2" t="s">
        <v>120</v>
      </c>
      <c r="AA4017" s="2" t="s">
        <v>3388</v>
      </c>
      <c r="AF4017" s="2">
        <f t="shared" si="502"/>
        <v>0</v>
      </c>
      <c r="AJ4017" s="2">
        <f t="shared" si="503"/>
        <v>0</v>
      </c>
      <c r="AK4017" s="2">
        <f t="shared" si="508"/>
        <v>5.99</v>
      </c>
      <c r="AL4017" s="5">
        <f t="shared" si="509"/>
        <v>1</v>
      </c>
    </row>
    <row r="4018" spans="1:38" hidden="1" x14ac:dyDescent="0.2">
      <c r="A4018" s="2">
        <v>2026</v>
      </c>
      <c r="B4018" s="2">
        <v>5</v>
      </c>
      <c r="D4018" s="2" t="s">
        <v>1746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1747</v>
      </c>
      <c r="K4018" s="2">
        <v>968602188</v>
      </c>
      <c r="L4018" s="2" t="s">
        <v>462</v>
      </c>
      <c r="M4018" s="2" t="s">
        <v>40</v>
      </c>
      <c r="O4018" s="2" t="s">
        <v>3018</v>
      </c>
      <c r="P4018" s="2" t="s">
        <v>115</v>
      </c>
      <c r="Q4018" s="2" t="s">
        <v>1474</v>
      </c>
      <c r="R4018" s="2" t="s">
        <v>1475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5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2"/>
        <v>0</v>
      </c>
      <c r="AG4018" s="2">
        <v>343.38</v>
      </c>
      <c r="AJ4018" s="2">
        <f t="shared" si="503"/>
        <v>0</v>
      </c>
      <c r="AK4018" s="2">
        <f t="shared" si="508"/>
        <v>355.91999999999996</v>
      </c>
      <c r="AL4018" s="5">
        <f t="shared" si="509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1746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1747</v>
      </c>
      <c r="K4019" s="2">
        <v>968602188</v>
      </c>
      <c r="L4019" s="2" t="s">
        <v>462</v>
      </c>
      <c r="M4019" s="2" t="s">
        <v>40</v>
      </c>
      <c r="O4019" s="2" t="s">
        <v>3018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5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02"/>
        <v>0</v>
      </c>
      <c r="AG4019" s="2">
        <f>W4019</f>
        <v>90</v>
      </c>
      <c r="AJ4019" s="2">
        <f t="shared" si="503"/>
        <v>0</v>
      </c>
      <c r="AK4019" s="2">
        <f t="shared" si="508"/>
        <v>135</v>
      </c>
      <c r="AL4019" s="5">
        <f t="shared" si="509"/>
        <v>0.6</v>
      </c>
    </row>
    <row r="4020" spans="1:38" hidden="1" x14ac:dyDescent="0.2">
      <c r="A4020" s="2">
        <v>2026</v>
      </c>
      <c r="B4020" s="2">
        <v>5</v>
      </c>
      <c r="D4020" s="2" t="s">
        <v>1746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1747</v>
      </c>
      <c r="K4020" s="2">
        <v>968602188</v>
      </c>
      <c r="L4020" s="2" t="s">
        <v>462</v>
      </c>
      <c r="M4020" s="2" t="s">
        <v>40</v>
      </c>
      <c r="O4020" s="2" t="s">
        <v>3018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02"/>
        <v>0</v>
      </c>
      <c r="AG4020" s="2">
        <f>W4020</f>
        <v>0</v>
      </c>
      <c r="AJ4020" s="2">
        <f t="shared" si="503"/>
        <v>0</v>
      </c>
      <c r="AK4020" s="2">
        <f t="shared" si="508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1298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1299</v>
      </c>
      <c r="L4021" s="2" t="s">
        <v>340</v>
      </c>
      <c r="M4021" s="2" t="s">
        <v>81</v>
      </c>
      <c r="O4021" s="2" t="s">
        <v>3019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10">(T4021-W4021)/T4021</f>
        <v>0.46676190476190477</v>
      </c>
      <c r="Z4021" s="2" t="s">
        <v>3233</v>
      </c>
      <c r="AA4021" s="2" t="s">
        <v>76</v>
      </c>
      <c r="AB4021" s="2" t="s">
        <v>77</v>
      </c>
      <c r="AC4021" s="2" t="s">
        <v>78</v>
      </c>
      <c r="AF4021" s="2">
        <f t="shared" si="502"/>
        <v>0</v>
      </c>
      <c r="AG4021" s="2">
        <v>111.98</v>
      </c>
      <c r="AH4021" s="2">
        <v>210</v>
      </c>
      <c r="AJ4021" s="2">
        <f t="shared" si="503"/>
        <v>0</v>
      </c>
      <c r="AK4021" s="2">
        <f t="shared" si="508"/>
        <v>98.02</v>
      </c>
      <c r="AL4021" s="5">
        <f t="shared" si="509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1298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1299</v>
      </c>
      <c r="L4022" s="2" t="s">
        <v>340</v>
      </c>
      <c r="M4022" s="2" t="s">
        <v>81</v>
      </c>
      <c r="O4022" s="2" t="s">
        <v>3019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10"/>
        <v>0</v>
      </c>
      <c r="Z4022" s="2" t="s">
        <v>3233</v>
      </c>
      <c r="AA4022" s="2" t="s">
        <v>97</v>
      </c>
      <c r="AB4022" s="2" t="s">
        <v>77</v>
      </c>
      <c r="AC4022" s="2" t="s">
        <v>94</v>
      </c>
      <c r="AF4022" s="2">
        <f t="shared" si="502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8"/>
        <v>0</v>
      </c>
      <c r="AL4022" s="5">
        <f t="shared" si="509"/>
        <v>0</v>
      </c>
    </row>
    <row r="4023" spans="1:38" hidden="1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1366</v>
      </c>
      <c r="R4023" s="2" t="s">
        <v>1367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10"/>
        <v>0.71491228070175439</v>
      </c>
      <c r="Z4023" s="2" t="s">
        <v>3233</v>
      </c>
      <c r="AA4023" s="2" t="s">
        <v>46</v>
      </c>
      <c r="AB4023" s="2" t="s">
        <v>47</v>
      </c>
      <c r="AC4023" s="2" t="s">
        <v>48</v>
      </c>
      <c r="AF4023" s="2">
        <f t="shared" si="502"/>
        <v>0</v>
      </c>
      <c r="AJ4023" s="2">
        <f t="shared" si="503"/>
        <v>0</v>
      </c>
      <c r="AK4023" s="2">
        <f t="shared" si="508"/>
        <v>48.900000000000006</v>
      </c>
      <c r="AL4023" s="5">
        <f t="shared" si="509"/>
        <v>0.71491228070175439</v>
      </c>
    </row>
    <row r="4024" spans="1:38" hidden="1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10"/>
        <v>0.58491111111111116</v>
      </c>
      <c r="Z4024" s="2" t="s">
        <v>3233</v>
      </c>
      <c r="AA4024" s="2" t="s">
        <v>46</v>
      </c>
      <c r="AB4024" s="2" t="s">
        <v>47</v>
      </c>
      <c r="AC4024" s="2" t="s">
        <v>48</v>
      </c>
      <c r="AF4024" s="2">
        <f t="shared" si="502"/>
        <v>0</v>
      </c>
      <c r="AG4024" s="2">
        <v>3.7357999999999998</v>
      </c>
      <c r="AH4024" s="2">
        <v>9</v>
      </c>
      <c r="AJ4024" s="2">
        <f t="shared" si="503"/>
        <v>0</v>
      </c>
      <c r="AK4024" s="2">
        <f t="shared" si="508"/>
        <v>10.528400000000001</v>
      </c>
      <c r="AL4024" s="5">
        <f t="shared" si="509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10"/>
        <v>0.26896551724137929</v>
      </c>
      <c r="Z4025" s="2" t="s">
        <v>3233</v>
      </c>
      <c r="AA4025" s="2" t="s">
        <v>46</v>
      </c>
      <c r="AB4025" s="2" t="s">
        <v>57</v>
      </c>
      <c r="AC4025" s="2" t="s">
        <v>58</v>
      </c>
      <c r="AF4025" s="2">
        <f t="shared" si="502"/>
        <v>0</v>
      </c>
      <c r="AG4025" s="2">
        <v>10.6</v>
      </c>
      <c r="AH4025" s="2">
        <v>18</v>
      </c>
      <c r="AJ4025" s="2">
        <f t="shared" si="503"/>
        <v>0</v>
      </c>
      <c r="AK4025" s="2">
        <f t="shared" si="508"/>
        <v>39</v>
      </c>
      <c r="AL4025" s="5">
        <f t="shared" si="509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3020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10"/>
        <v>0.29692307692307696</v>
      </c>
      <c r="Z4026" s="2" t="s">
        <v>3233</v>
      </c>
      <c r="AA4026" s="2" t="s">
        <v>46</v>
      </c>
      <c r="AB4026" s="2" t="s">
        <v>61</v>
      </c>
      <c r="AC4026" s="2" t="s">
        <v>58</v>
      </c>
      <c r="AF4026" s="2">
        <f t="shared" si="502"/>
        <v>0</v>
      </c>
      <c r="AG4026" s="2">
        <v>9.14</v>
      </c>
      <c r="AH4026" s="2">
        <v>16</v>
      </c>
      <c r="AJ4026" s="2">
        <f t="shared" si="503"/>
        <v>0</v>
      </c>
      <c r="AK4026" s="2">
        <f t="shared" si="508"/>
        <v>11.580000000000002</v>
      </c>
      <c r="AL4026" s="5">
        <f t="shared" si="509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10"/>
        <v>0.3692307692307692</v>
      </c>
      <c r="Z4027" s="2" t="s">
        <v>3233</v>
      </c>
      <c r="AA4027" s="2" t="s">
        <v>46</v>
      </c>
      <c r="AB4027" s="2" t="s">
        <v>61</v>
      </c>
      <c r="AC4027" s="2" t="s">
        <v>58</v>
      </c>
      <c r="AF4027" s="2">
        <f t="shared" si="502"/>
        <v>0</v>
      </c>
      <c r="AG4027" s="2">
        <v>8.1999999999999993</v>
      </c>
      <c r="AH4027" s="2">
        <v>13</v>
      </c>
      <c r="AJ4027" s="2">
        <f t="shared" si="503"/>
        <v>0</v>
      </c>
      <c r="AK4027" s="2">
        <f t="shared" si="508"/>
        <v>14.399999999999999</v>
      </c>
      <c r="AL4027" s="5">
        <f t="shared" si="509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3021</v>
      </c>
      <c r="P4028" s="2" t="s">
        <v>43</v>
      </c>
      <c r="Q4028" s="2" t="s">
        <v>3022</v>
      </c>
      <c r="R4028" s="2" t="s">
        <v>3023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10"/>
        <v>0.62374999999999992</v>
      </c>
      <c r="Z4028" s="2" t="s">
        <v>3233</v>
      </c>
      <c r="AA4028" s="2" t="s">
        <v>46</v>
      </c>
      <c r="AB4028" s="2" t="s">
        <v>61</v>
      </c>
      <c r="AC4028" s="2" t="s">
        <v>58</v>
      </c>
      <c r="AF4028" s="2">
        <f t="shared" si="502"/>
        <v>0</v>
      </c>
      <c r="AG4028" s="2">
        <v>0.90300000000000002</v>
      </c>
      <c r="AH4028" s="2">
        <v>2.4</v>
      </c>
      <c r="AJ4028" s="2">
        <f t="shared" si="503"/>
        <v>0</v>
      </c>
      <c r="AK4028" s="2">
        <f t="shared" si="508"/>
        <v>17.963999999999999</v>
      </c>
      <c r="AL4028" s="5">
        <f t="shared" si="509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3021</v>
      </c>
      <c r="P4029" s="2" t="s">
        <v>43</v>
      </c>
      <c r="Q4029" s="2" t="s">
        <v>3024</v>
      </c>
      <c r="R4029" s="2" t="s">
        <v>3025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10"/>
        <v>0.62416666666666665</v>
      </c>
      <c r="Z4029" s="2" t="s">
        <v>3233</v>
      </c>
      <c r="AA4029" s="2" t="s">
        <v>46</v>
      </c>
      <c r="AB4029" s="2" t="s">
        <v>61</v>
      </c>
      <c r="AC4029" s="2" t="s">
        <v>58</v>
      </c>
      <c r="AF4029" s="2">
        <f t="shared" si="502"/>
        <v>0</v>
      </c>
      <c r="AG4029" s="2">
        <v>0.90200000000000002</v>
      </c>
      <c r="AH4029" s="2">
        <v>2.8</v>
      </c>
      <c r="AJ4029" s="2">
        <f t="shared" si="503"/>
        <v>0</v>
      </c>
      <c r="AK4029" s="2">
        <f t="shared" si="508"/>
        <v>17.975999999999999</v>
      </c>
      <c r="AL4029" s="5">
        <f t="shared" si="509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3026</v>
      </c>
      <c r="P4030" s="2" t="s">
        <v>115</v>
      </c>
      <c r="Q4030" s="2" t="s">
        <v>3027</v>
      </c>
      <c r="R4030" s="2" t="s">
        <v>3028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10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2"/>
        <v>0</v>
      </c>
      <c r="AG4030" s="2">
        <f>104.4+1.77</f>
        <v>106.17</v>
      </c>
      <c r="AJ4030" s="2">
        <f t="shared" si="503"/>
        <v>0</v>
      </c>
      <c r="AK4030" s="2">
        <f t="shared" si="508"/>
        <v>139.08000000000001</v>
      </c>
      <c r="AL4030" s="5">
        <f t="shared" si="509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3029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10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2"/>
        <v>0</v>
      </c>
      <c r="AG4031" s="2">
        <v>342.22</v>
      </c>
      <c r="AJ4031" s="2">
        <f t="shared" si="503"/>
        <v>0</v>
      </c>
      <c r="AK4031" s="2">
        <f t="shared" si="508"/>
        <v>120.4966</v>
      </c>
      <c r="AL4031" s="5">
        <f t="shared" si="509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3030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10"/>
        <v>0.42947272727272723</v>
      </c>
      <c r="Z4032" s="2" t="s">
        <v>3233</v>
      </c>
      <c r="AA4032" s="2" t="s">
        <v>76</v>
      </c>
      <c r="AB4032" s="2" t="s">
        <v>77</v>
      </c>
      <c r="AC4032" s="2" t="s">
        <v>78</v>
      </c>
      <c r="AF4032" s="2">
        <f t="shared" si="502"/>
        <v>0</v>
      </c>
      <c r="AG4032" s="2">
        <v>125.51600000000001</v>
      </c>
      <c r="AH4032" s="2">
        <v>220</v>
      </c>
      <c r="AJ4032" s="2">
        <f t="shared" si="503"/>
        <v>0</v>
      </c>
      <c r="AK4032" s="2">
        <f t="shared" si="508"/>
        <v>94.483999999999995</v>
      </c>
      <c r="AL4032" s="5">
        <f t="shared" si="509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3030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10"/>
        <v>0</v>
      </c>
      <c r="Z4033" s="2" t="s">
        <v>3233</v>
      </c>
      <c r="AA4033" s="2" t="s">
        <v>97</v>
      </c>
      <c r="AB4033" s="2" t="s">
        <v>77</v>
      </c>
      <c r="AC4033" s="2" t="s">
        <v>94</v>
      </c>
      <c r="AF4033" s="2">
        <f t="shared" si="502"/>
        <v>0</v>
      </c>
      <c r="AJ4033" s="2">
        <f>AI4033*T4033</f>
        <v>0</v>
      </c>
      <c r="AK4033" s="2">
        <f t="shared" si="508"/>
        <v>0</v>
      </c>
      <c r="AL4033" s="5">
        <f t="shared" si="509"/>
        <v>0</v>
      </c>
    </row>
    <row r="4034" spans="1:38" hidden="1" x14ac:dyDescent="0.2">
      <c r="A4034" s="2">
        <v>2026</v>
      </c>
      <c r="B4034" s="2">
        <v>5</v>
      </c>
      <c r="D4034" s="2" t="s">
        <v>3031</v>
      </c>
      <c r="M4034" s="2" t="s">
        <v>40</v>
      </c>
      <c r="O4034" s="2" t="s">
        <v>3032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10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2"/>
        <v>0</v>
      </c>
      <c r="AJ4034" s="2">
        <f t="shared" si="503"/>
        <v>0</v>
      </c>
      <c r="AK4034" s="2">
        <f t="shared" si="508"/>
        <v>352.72999999999996</v>
      </c>
      <c r="AL4034" s="5">
        <f t="shared" si="509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3031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10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ref="AF4035:AF4042" si="511">AJ4035</f>
        <v>0</v>
      </c>
      <c r="AG4035" s="2">
        <f>W4035</f>
        <v>70</v>
      </c>
      <c r="AJ4035" s="2">
        <f t="shared" ref="AJ4035:AJ4044" si="512">AI4035*T4035</f>
        <v>0</v>
      </c>
      <c r="AK4035" s="2">
        <f t="shared" si="508"/>
        <v>105</v>
      </c>
      <c r="AL4035" s="5">
        <f t="shared" si="509"/>
        <v>0.6</v>
      </c>
    </row>
    <row r="4036" spans="1:38" hidden="1" x14ac:dyDescent="0.2">
      <c r="A4036" s="2">
        <v>2026</v>
      </c>
      <c r="B4036" s="2">
        <v>5</v>
      </c>
      <c r="D4036" s="2" t="s">
        <v>3031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10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511"/>
        <v>0</v>
      </c>
      <c r="AG4036" s="2">
        <f>W4036</f>
        <v>110</v>
      </c>
      <c r="AJ4036" s="2">
        <f t="shared" si="512"/>
        <v>0</v>
      </c>
      <c r="AK4036" s="2">
        <f t="shared" si="508"/>
        <v>110</v>
      </c>
      <c r="AL4036" s="5">
        <f t="shared" si="509"/>
        <v>0.5</v>
      </c>
    </row>
    <row r="4037" spans="1:38" hidden="1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3033</v>
      </c>
      <c r="P4037" s="2" t="s">
        <v>73</v>
      </c>
      <c r="Q4037" s="2" t="s">
        <v>3034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10"/>
        <v>0.39445595854922277</v>
      </c>
      <c r="Z4037" s="2" t="s">
        <v>3233</v>
      </c>
      <c r="AA4037" s="2" t="s">
        <v>76</v>
      </c>
      <c r="AB4037" s="2" t="s">
        <v>77</v>
      </c>
      <c r="AC4037" s="2" t="s">
        <v>78</v>
      </c>
      <c r="AF4037" s="2">
        <f t="shared" si="511"/>
        <v>0</v>
      </c>
      <c r="AG4037" s="2">
        <v>125.51600000000001</v>
      </c>
      <c r="AH4037" s="2">
        <v>220</v>
      </c>
      <c r="AJ4037" s="2">
        <f t="shared" si="512"/>
        <v>0</v>
      </c>
      <c r="AK4037" s="2">
        <f t="shared" si="508"/>
        <v>76.13</v>
      </c>
      <c r="AL4037" s="5">
        <f t="shared" si="509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10"/>
        <v>0.49690909090909086</v>
      </c>
      <c r="Z4038" s="2" t="s">
        <v>3233</v>
      </c>
      <c r="AA4038" s="2" t="s">
        <v>76</v>
      </c>
      <c r="AB4038" s="2" t="s">
        <v>77</v>
      </c>
      <c r="AC4038" s="2" t="s">
        <v>78</v>
      </c>
      <c r="AF4038" s="2">
        <f t="shared" si="511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3035</v>
      </c>
      <c r="R4039" s="2" t="s">
        <v>3036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10"/>
        <v>0.45881818181818179</v>
      </c>
      <c r="Z4039" s="2" t="s">
        <v>3233</v>
      </c>
      <c r="AA4039" s="2" t="s">
        <v>76</v>
      </c>
      <c r="AB4039" s="2" t="s">
        <v>77</v>
      </c>
      <c r="AC4039" s="2" t="s">
        <v>1040</v>
      </c>
      <c r="AF4039" s="2">
        <f t="shared" si="511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10"/>
        <v>2.000401846171453E-16</v>
      </c>
      <c r="Z4040" s="2" t="s">
        <v>3233</v>
      </c>
      <c r="AA4040" s="2" t="s">
        <v>97</v>
      </c>
      <c r="AB4040" s="2" t="s">
        <v>77</v>
      </c>
      <c r="AC4040" s="2" t="s">
        <v>94</v>
      </c>
      <c r="AF4040" s="2">
        <f t="shared" si="511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2370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2371</v>
      </c>
      <c r="J4041" s="2" t="s">
        <v>2372</v>
      </c>
      <c r="K4041" s="2">
        <v>963062174</v>
      </c>
      <c r="L4041" s="2" t="s">
        <v>419</v>
      </c>
      <c r="M4041" s="2" t="s">
        <v>41</v>
      </c>
      <c r="O4041" s="2" t="s">
        <v>3037</v>
      </c>
      <c r="P4041" s="2" t="s">
        <v>283</v>
      </c>
      <c r="Q4041" s="2" t="s">
        <v>3038</v>
      </c>
      <c r="R4041" s="2" t="s">
        <v>3039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10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1"/>
        <v>0</v>
      </c>
      <c r="AG4041" s="2">
        <v>285</v>
      </c>
      <c r="AJ4041" s="2">
        <f t="shared" si="512"/>
        <v>0</v>
      </c>
      <c r="AK4041" s="2">
        <f t="shared" si="508"/>
        <v>-45</v>
      </c>
      <c r="AL4041" s="5">
        <f t="shared" si="509"/>
        <v>-0.1875</v>
      </c>
    </row>
    <row r="4042" spans="1:38" hidden="1" x14ac:dyDescent="0.2">
      <c r="A4042" s="2">
        <v>2026</v>
      </c>
      <c r="B4042" s="2">
        <v>5</v>
      </c>
      <c r="D4042" s="2" t="s">
        <v>2370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2371</v>
      </c>
      <c r="J4042" s="2" t="s">
        <v>2372</v>
      </c>
      <c r="K4042" s="2">
        <v>963062174</v>
      </c>
      <c r="L4042" s="2" t="s">
        <v>419</v>
      </c>
      <c r="M4042" s="2" t="s">
        <v>41</v>
      </c>
      <c r="O4042" s="2" t="s">
        <v>3037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10"/>
        <v>0.37647058823529411</v>
      </c>
      <c r="Z4042" s="2" t="s">
        <v>3233</v>
      </c>
      <c r="AA4042" s="2" t="s">
        <v>46</v>
      </c>
      <c r="AB4042" s="2" t="s">
        <v>57</v>
      </c>
      <c r="AC4042" s="2" t="s">
        <v>58</v>
      </c>
      <c r="AF4042" s="2">
        <f t="shared" si="511"/>
        <v>0</v>
      </c>
      <c r="AG4042" s="2">
        <v>10.6</v>
      </c>
      <c r="AH4042" s="2">
        <v>18</v>
      </c>
      <c r="AJ4042" s="2">
        <f t="shared" si="512"/>
        <v>0</v>
      </c>
      <c r="AK4042" s="2">
        <f t="shared" si="508"/>
        <v>25.6</v>
      </c>
      <c r="AL4042" s="5">
        <f t="shared" si="509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3040</v>
      </c>
      <c r="P4043" s="2" t="s">
        <v>115</v>
      </c>
      <c r="Q4043" s="2" t="s">
        <v>1583</v>
      </c>
      <c r="R4043" s="2" t="s">
        <v>1584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10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2"/>
        <v>0</v>
      </c>
      <c r="AK4043" s="2">
        <f t="shared" si="508"/>
        <v>425.77000000000044</v>
      </c>
      <c r="AL4043" s="5">
        <f t="shared" si="509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3041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10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512"/>
        <v>0</v>
      </c>
      <c r="AK4044" s="2">
        <f t="shared" si="508"/>
        <v>43.8</v>
      </c>
      <c r="AL4044" s="5">
        <f t="shared" si="509"/>
        <v>0.6</v>
      </c>
    </row>
    <row r="4045" spans="1:38" hidden="1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3041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10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10"/>
        <v>0.41211538461538466</v>
      </c>
      <c r="Z4046" s="2" t="s">
        <v>3233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10"/>
        <v>0</v>
      </c>
      <c r="Z4047" s="2" t="s">
        <v>3233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1453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1453</v>
      </c>
      <c r="P4049" s="2" t="s">
        <v>115</v>
      </c>
      <c r="Q4049" s="2" t="s">
        <v>2486</v>
      </c>
      <c r="R4049" s="2" t="s">
        <v>1390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1453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3">T4050*23%</f>
        <v>28.75</v>
      </c>
      <c r="V4050" s="2">
        <f t="shared" ref="V4050:V4064" si="514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1453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3"/>
        <v>25.3</v>
      </c>
      <c r="V4051" s="2">
        <f t="shared" si="514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1326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3"/>
        <v>4.1400000000000006</v>
      </c>
      <c r="V4052" s="10">
        <f t="shared" si="514"/>
        <v>22.14</v>
      </c>
      <c r="X4052" s="5">
        <f>(T4052-W4052)/T4052</f>
        <v>1</v>
      </c>
      <c r="Z4052" s="2" t="s">
        <v>3233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1326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3"/>
        <v>2.99</v>
      </c>
      <c r="V4053" s="10">
        <f t="shared" si="514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3233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5">T4053-W4053</f>
        <v>4.7999999999999989</v>
      </c>
      <c r="AL4053" s="5">
        <f t="shared" ref="AL4053" si="516">(T4053-W4053)/T4053</f>
        <v>0.36923076923076914</v>
      </c>
    </row>
    <row r="4054" spans="1:38" hidden="1" x14ac:dyDescent="0.2">
      <c r="A4054" s="8">
        <v>2026</v>
      </c>
      <c r="B4054" s="8">
        <v>6</v>
      </c>
      <c r="C4054" s="8"/>
      <c r="D4054" s="2" t="s">
        <v>1326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3"/>
        <v>4.6000000000000005</v>
      </c>
      <c r="V4054" s="10">
        <f t="shared" si="514"/>
        <v>24.6</v>
      </c>
      <c r="X4054" s="5">
        <f>(T4054-W4054)/T4054</f>
        <v>1</v>
      </c>
      <c r="Z4054" s="2" t="s">
        <v>3233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3107</v>
      </c>
      <c r="P4055" s="2" t="s">
        <v>1040</v>
      </c>
      <c r="Q4055" s="2" t="s">
        <v>3042</v>
      </c>
      <c r="R4055" s="2" t="s">
        <v>3043</v>
      </c>
      <c r="S4055" s="9">
        <v>1</v>
      </c>
      <c r="T4055" s="10">
        <v>280</v>
      </c>
      <c r="U4055" s="2">
        <f t="shared" si="513"/>
        <v>64.400000000000006</v>
      </c>
      <c r="V4055" s="2">
        <f t="shared" si="514"/>
        <v>344.4</v>
      </c>
      <c r="W4055" s="2">
        <v>153.4</v>
      </c>
      <c r="X4055" s="5">
        <f t="shared" ref="X4055:X4060" si="517">(T4055-W4055)/T4055</f>
        <v>0.45214285714285712</v>
      </c>
      <c r="Z4055" s="2" t="s">
        <v>3233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3107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3"/>
        <v>0.34040000000000004</v>
      </c>
      <c r="V4056" s="10">
        <f t="shared" si="514"/>
        <v>1.8204</v>
      </c>
      <c r="W4056" s="2">
        <f>1.48*S4056</f>
        <v>1.48</v>
      </c>
      <c r="X4056" s="5">
        <f t="shared" si="517"/>
        <v>0</v>
      </c>
      <c r="Z4056" s="2" t="s">
        <v>3233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3"/>
        <v>4.83</v>
      </c>
      <c r="V4057" s="10">
        <f t="shared" si="514"/>
        <v>25.83</v>
      </c>
      <c r="X4057" s="5">
        <f t="shared" si="517"/>
        <v>1</v>
      </c>
      <c r="Z4057" s="2" t="s">
        <v>3233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hidden="1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3"/>
        <v>6.9</v>
      </c>
      <c r="V4058" s="10">
        <f t="shared" si="514"/>
        <v>36.9</v>
      </c>
      <c r="X4058" s="5">
        <f t="shared" si="517"/>
        <v>1</v>
      </c>
      <c r="Z4058" s="2" t="s">
        <v>3233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hidden="1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3"/>
        <v>4.5540000000000003</v>
      </c>
      <c r="V4059" s="10">
        <f t="shared" si="514"/>
        <v>24.353999999999999</v>
      </c>
      <c r="X4059" s="5">
        <f t="shared" si="517"/>
        <v>1</v>
      </c>
      <c r="Z4059" s="2" t="s">
        <v>3233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hidden="1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3"/>
        <v>8.2800000000000011</v>
      </c>
      <c r="V4060" s="10">
        <f t="shared" si="514"/>
        <v>44.28</v>
      </c>
      <c r="X4060" s="5">
        <f t="shared" si="517"/>
        <v>1</v>
      </c>
      <c r="Z4060" s="2" t="s">
        <v>3233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3"/>
        <v>50.6</v>
      </c>
      <c r="V4061" s="10">
        <f t="shared" si="514"/>
        <v>270.60000000000002</v>
      </c>
      <c r="W4061" s="2">
        <v>131.93</v>
      </c>
      <c r="X4061" s="5">
        <f>(T4061-W4061)/T4061</f>
        <v>0.4003181818181818</v>
      </c>
      <c r="Z4061" s="2" t="s">
        <v>3233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3"/>
        <v>0.34040000000000004</v>
      </c>
      <c r="V4062" s="10">
        <f t="shared" si="514"/>
        <v>1.8204</v>
      </c>
      <c r="W4062" s="2">
        <f>1.48*S4062</f>
        <v>1.48</v>
      </c>
      <c r="X4062" s="5">
        <f>(T4062-W4062)/T4062</f>
        <v>0</v>
      </c>
      <c r="Z4062" s="2" t="s">
        <v>3233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3"/>
        <v>13.8</v>
      </c>
      <c r="V4063" s="2">
        <f t="shared" si="514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3"/>
        <v>12.65</v>
      </c>
      <c r="V4064" s="2">
        <f t="shared" si="514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8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1983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8"/>
        <v>0.25</v>
      </c>
      <c r="Z4066" s="2" t="s">
        <v>3233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2" si="519">T4067*23%</f>
        <v>26.68</v>
      </c>
      <c r="V4067" s="10">
        <f t="shared" ref="V4067:V4072" si="520">T4067+U4067</f>
        <v>142.68</v>
      </c>
      <c r="X4067" s="5">
        <f t="shared" ref="X4067:X4073" si="521">(T4067-W4067)/T4067</f>
        <v>1</v>
      </c>
      <c r="Z4067" s="2" t="s">
        <v>3233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3269</v>
      </c>
      <c r="E4068" s="2" t="s">
        <v>38</v>
      </c>
      <c r="F4068" s="2" t="s">
        <v>3428</v>
      </c>
      <c r="G4068" s="2">
        <v>500844321</v>
      </c>
      <c r="H4068" s="2" t="s">
        <v>40</v>
      </c>
      <c r="I4068" s="2" t="s">
        <v>340</v>
      </c>
      <c r="J4068" s="2" t="s">
        <v>2652</v>
      </c>
      <c r="L4068" s="2" t="s">
        <v>340</v>
      </c>
      <c r="M4068" s="2" t="s">
        <v>291</v>
      </c>
      <c r="O4068" s="2" t="s">
        <v>3268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9"/>
        <v>4577</v>
      </c>
      <c r="V4068" s="2">
        <f t="shared" si="520"/>
        <v>24477</v>
      </c>
      <c r="W4068" s="2">
        <f>10699.41+285.74</f>
        <v>10985.15</v>
      </c>
      <c r="X4068" s="5">
        <f t="shared" si="521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 t="shared" ref="AK4068" si="522">T4068-W4068</f>
        <v>8914.85</v>
      </c>
      <c r="AL4068" s="5">
        <f t="shared" ref="AL4068" si="523">(T4068-W4068)/T4068</f>
        <v>0.44798241206030154</v>
      </c>
    </row>
    <row r="4069" spans="1:38" hidden="1" x14ac:dyDescent="0.2">
      <c r="A4069" s="8">
        <v>2026</v>
      </c>
      <c r="B4069" s="8">
        <v>6</v>
      </c>
      <c r="C4069" s="8"/>
      <c r="D4069" s="2" t="s">
        <v>3265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2652</v>
      </c>
      <c r="L4069" s="2" t="s">
        <v>419</v>
      </c>
      <c r="M4069" s="2" t="s">
        <v>41</v>
      </c>
      <c r="O4069" s="2" t="s">
        <v>3270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519"/>
        <v>2053.9</v>
      </c>
      <c r="V4069" s="10">
        <f t="shared" si="520"/>
        <v>10983.9</v>
      </c>
      <c r="W4069" s="2">
        <f>6348.73+221.85</f>
        <v>6570.58</v>
      </c>
      <c r="X4069" s="5">
        <f t="shared" si="521"/>
        <v>0.2642127659574468</v>
      </c>
      <c r="Z4069" s="2" t="s">
        <v>105</v>
      </c>
      <c r="AA4069" s="2" t="s">
        <v>617</v>
      </c>
      <c r="AB4069" s="2" t="s">
        <v>3271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3265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2652</v>
      </c>
      <c r="L4070" s="2" t="s">
        <v>419</v>
      </c>
      <c r="M4070" s="2" t="s">
        <v>41</v>
      </c>
      <c r="O4070" s="2" t="s">
        <v>3270</v>
      </c>
      <c r="P4070" s="2" t="s">
        <v>115</v>
      </c>
      <c r="Q4070" s="2" t="s">
        <v>1583</v>
      </c>
      <c r="R4070" s="2" t="s">
        <v>1584</v>
      </c>
      <c r="S4070" s="9">
        <v>1</v>
      </c>
      <c r="T4070" s="10">
        <v>6990</v>
      </c>
      <c r="U4070" s="2">
        <f t="shared" si="519"/>
        <v>1607.7</v>
      </c>
      <c r="V4070" s="10">
        <f t="shared" si="520"/>
        <v>8597.7000000000007</v>
      </c>
      <c r="W4070" s="2">
        <f>4893.23+171</f>
        <v>5064.2299999999996</v>
      </c>
      <c r="X4070" s="5">
        <f t="shared" si="521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3111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9"/>
        <v>72.22</v>
      </c>
      <c r="V4071" s="2">
        <f t="shared" si="520"/>
        <v>386.22</v>
      </c>
      <c r="W4071" s="2">
        <f>T4071*40%</f>
        <v>125.60000000000001</v>
      </c>
      <c r="X4071" s="5">
        <f t="shared" si="521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3111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9"/>
        <v>50.6</v>
      </c>
      <c r="V4072" s="2">
        <f t="shared" si="520"/>
        <v>270.60000000000002</v>
      </c>
      <c r="W4072" s="2">
        <f>T4072*50%</f>
        <v>110</v>
      </c>
      <c r="X4072" s="5">
        <f t="shared" si="521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3111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>T4073*23%</f>
        <v>23</v>
      </c>
      <c r="V4073" s="10">
        <f>T4073+U4073</f>
        <v>123</v>
      </c>
      <c r="X4073" s="5">
        <f t="shared" si="521"/>
        <v>1</v>
      </c>
      <c r="Z4073" s="2" t="s">
        <v>120</v>
      </c>
      <c r="AA4073" s="2" t="s">
        <v>3388</v>
      </c>
      <c r="AI4073" s="2"/>
      <c r="AK4073" s="2">
        <f t="shared" ref="AK4073" si="524">T4073-W4073</f>
        <v>100</v>
      </c>
      <c r="AL4073" s="5">
        <f t="shared" ref="AL4073" si="525">(T4073-W4073)/T4073</f>
        <v>1</v>
      </c>
    </row>
    <row r="4074" spans="1:38" hidden="1" x14ac:dyDescent="0.2">
      <c r="A4074" s="8">
        <v>2026</v>
      </c>
      <c r="B4074" s="8">
        <v>6</v>
      </c>
      <c r="C4074" s="8"/>
      <c r="D4074" s="2" t="s">
        <v>2129</v>
      </c>
      <c r="P4074" s="2" t="s">
        <v>1040</v>
      </c>
      <c r="Q4074" s="2" t="s">
        <v>3044</v>
      </c>
      <c r="R4074" s="2" t="s">
        <v>3045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3233</v>
      </c>
      <c r="AA4074" s="2" t="s">
        <v>1043</v>
      </c>
      <c r="AB4074" s="2" t="s">
        <v>1273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hidden="1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3233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6">T4075-W4075</f>
        <v>18.878</v>
      </c>
      <c r="AL4075" s="5">
        <f t="shared" ref="AL4075" si="527">(T4075-W4075)/T4075</f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3105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3105</v>
      </c>
      <c r="P4077" s="2" t="s">
        <v>115</v>
      </c>
      <c r="Q4077" s="2" t="s">
        <v>2120</v>
      </c>
      <c r="R4077" s="2" t="s">
        <v>2121</v>
      </c>
      <c r="S4077" s="9">
        <v>1</v>
      </c>
      <c r="T4077" s="10">
        <v>700</v>
      </c>
      <c r="U4077" s="2">
        <f>T4077*23%</f>
        <v>161</v>
      </c>
      <c r="V4077" s="10">
        <f>T4077+U4077</f>
        <v>861</v>
      </c>
      <c r="X4077" s="5">
        <f t="shared" ref="X4077" si="528">(T4077-W4077)/T4077</f>
        <v>1</v>
      </c>
      <c r="AI4077" s="2"/>
      <c r="AK4077" s="2">
        <f t="shared" ref="AK4077" si="529">T4077-W4077</f>
        <v>700</v>
      </c>
      <c r="AL4077" s="5">
        <f t="shared" ref="AL4077" si="530">(T4077-W4077)/T4077</f>
        <v>1</v>
      </c>
    </row>
    <row r="4078" spans="1:38" hidden="1" x14ac:dyDescent="0.2">
      <c r="A4078" s="8">
        <v>2026</v>
      </c>
      <c r="B4078" s="8">
        <v>6</v>
      </c>
      <c r="C4078" s="8"/>
      <c r="D4078" s="2" t="s">
        <v>3105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X4078" s="5">
        <f t="shared" ref="X4078" si="531">(T4078-W4078)/T4078</f>
        <v>1</v>
      </c>
      <c r="Z4078" s="2" t="s">
        <v>105</v>
      </c>
      <c r="AI4078" s="2"/>
      <c r="AL4078" s="2"/>
    </row>
    <row r="4079" spans="1:38" hidden="1" x14ac:dyDescent="0.2">
      <c r="A4079" s="8">
        <v>2026</v>
      </c>
      <c r="B4079" s="8">
        <v>6</v>
      </c>
      <c r="C4079" s="8" t="s">
        <v>3386</v>
      </c>
      <c r="D4079" s="2" t="s">
        <v>1358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1359</v>
      </c>
      <c r="L4079" s="2" t="s">
        <v>419</v>
      </c>
      <c r="M4079" s="2" t="s">
        <v>41</v>
      </c>
      <c r="P4079" s="2" t="s">
        <v>43</v>
      </c>
      <c r="Q4079" s="2" t="s">
        <v>2929</v>
      </c>
      <c r="R4079" s="2" t="s">
        <v>270</v>
      </c>
      <c r="S4079" s="9">
        <v>1</v>
      </c>
      <c r="T4079" s="10">
        <v>10.8</v>
      </c>
      <c r="U4079" s="2">
        <f t="shared" ref="U4079:U4105" si="532">T4079*23%</f>
        <v>2.4840000000000004</v>
      </c>
      <c r="V4079" s="10">
        <f t="shared" ref="V4079:V4106" si="533">T4079+U4079</f>
        <v>13.284000000000001</v>
      </c>
      <c r="W4079" s="2">
        <v>5.23</v>
      </c>
      <c r="X4079" s="5">
        <f t="shared" ref="X4079:X4109" si="534">(T4079-W4079)/T4079</f>
        <v>0.51574074074074072</v>
      </c>
      <c r="Z4079" s="2" t="s">
        <v>3233</v>
      </c>
      <c r="AA4079" s="2" t="s">
        <v>46</v>
      </c>
      <c r="AB4079" s="2" t="s">
        <v>91</v>
      </c>
      <c r="AC4079" s="2" t="s">
        <v>58</v>
      </c>
      <c r="AI4079" s="2"/>
      <c r="AK4079" s="2">
        <f t="shared" ref="AK4079:AK4109" si="535">T4079-W4079</f>
        <v>5.57</v>
      </c>
      <c r="AL4079" s="5">
        <f t="shared" ref="AL4079:AL4109" si="536">(T4079-W4079)/T4079</f>
        <v>0.51574074074074072</v>
      </c>
    </row>
    <row r="4080" spans="1:38" hidden="1" x14ac:dyDescent="0.2">
      <c r="A4080" s="8">
        <v>2026</v>
      </c>
      <c r="B4080" s="8">
        <v>6</v>
      </c>
      <c r="C4080" s="8" t="s">
        <v>3386</v>
      </c>
      <c r="D4080" s="2" t="s">
        <v>1358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1359</v>
      </c>
      <c r="L4080" s="2" t="s">
        <v>419</v>
      </c>
      <c r="M4080" s="2" t="s">
        <v>41</v>
      </c>
      <c r="P4080" s="2" t="s">
        <v>43</v>
      </c>
      <c r="Q4080" s="2" t="s">
        <v>2930</v>
      </c>
      <c r="R4080" s="2" t="s">
        <v>2931</v>
      </c>
      <c r="S4080" s="9">
        <v>1</v>
      </c>
      <c r="T4080" s="10">
        <v>3.6</v>
      </c>
      <c r="U4080" s="2">
        <f t="shared" si="532"/>
        <v>0.82800000000000007</v>
      </c>
      <c r="V4080" s="10">
        <f t="shared" si="533"/>
        <v>4.4279999999999999</v>
      </c>
      <c r="W4080" s="2">
        <f>0.97*S4080</f>
        <v>0.97</v>
      </c>
      <c r="X4080" s="5">
        <f t="shared" si="534"/>
        <v>0.73055555555555551</v>
      </c>
      <c r="Z4080" s="2" t="s">
        <v>3233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535"/>
        <v>2.63</v>
      </c>
      <c r="AL4080" s="5">
        <f t="shared" si="536"/>
        <v>0.73055555555555551</v>
      </c>
    </row>
    <row r="4081" spans="1:38" hidden="1" x14ac:dyDescent="0.2">
      <c r="A4081" s="8">
        <v>2026</v>
      </c>
      <c r="B4081" s="8">
        <v>6</v>
      </c>
      <c r="C4081" s="8" t="s">
        <v>3386</v>
      </c>
      <c r="D4081" s="2" t="s">
        <v>1358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1359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532"/>
        <v>4.83</v>
      </c>
      <c r="V4081" s="10">
        <f t="shared" si="533"/>
        <v>25.83</v>
      </c>
      <c r="W4081" s="2">
        <f>10.67*S4081</f>
        <v>10.67</v>
      </c>
      <c r="X4081" s="5">
        <f t="shared" si="534"/>
        <v>0.4919047619047619</v>
      </c>
      <c r="Z4081" s="2" t="s">
        <v>3233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535"/>
        <v>10.33</v>
      </c>
      <c r="AL4081" s="5">
        <f t="shared" si="536"/>
        <v>0.4919047619047619</v>
      </c>
    </row>
    <row r="4082" spans="1:38" hidden="1" x14ac:dyDescent="0.2">
      <c r="A4082" s="8">
        <v>2026</v>
      </c>
      <c r="B4082" s="8">
        <v>6</v>
      </c>
      <c r="C4082" s="8" t="s">
        <v>3386</v>
      </c>
      <c r="D4082" s="2" t="s">
        <v>1358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1359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532"/>
        <v>4.83</v>
      </c>
      <c r="V4082" s="10">
        <f t="shared" si="533"/>
        <v>25.83</v>
      </c>
      <c r="W4082" s="2">
        <f>9.3*S4082</f>
        <v>9.3000000000000007</v>
      </c>
      <c r="X4082" s="5">
        <f t="shared" si="534"/>
        <v>0.55714285714285716</v>
      </c>
      <c r="Z4082" s="2" t="s">
        <v>3233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35"/>
        <v>11.7</v>
      </c>
      <c r="AL4082" s="5">
        <f t="shared" si="536"/>
        <v>0.55714285714285716</v>
      </c>
    </row>
    <row r="4083" spans="1:38" hidden="1" x14ac:dyDescent="0.2">
      <c r="A4083" s="8">
        <v>2026</v>
      </c>
      <c r="B4083" s="8">
        <v>6</v>
      </c>
      <c r="C4083" s="8" t="s">
        <v>3386</v>
      </c>
      <c r="D4083" s="2" t="s">
        <v>1358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1359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532"/>
        <v>2.0700000000000003</v>
      </c>
      <c r="V4083" s="10">
        <f t="shared" si="533"/>
        <v>11.07</v>
      </c>
      <c r="W4083" s="2">
        <f>3.7358*S4083</f>
        <v>3.7357999999999998</v>
      </c>
      <c r="X4083" s="5">
        <f t="shared" si="534"/>
        <v>0.58491111111111116</v>
      </c>
      <c r="Z4083" s="2" t="s">
        <v>3233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35"/>
        <v>5.2642000000000007</v>
      </c>
      <c r="AL4083" s="5">
        <f t="shared" si="536"/>
        <v>0.58491111111111116</v>
      </c>
    </row>
    <row r="4084" spans="1:38" hidden="1" x14ac:dyDescent="0.2">
      <c r="A4084" s="8">
        <v>2026</v>
      </c>
      <c r="B4084" s="8">
        <v>6</v>
      </c>
      <c r="C4084" s="8" t="s">
        <v>3386</v>
      </c>
      <c r="D4084" s="2" t="s">
        <v>1358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1359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532"/>
        <v>3.3120000000000003</v>
      </c>
      <c r="V4084" s="10">
        <f t="shared" si="533"/>
        <v>17.712</v>
      </c>
      <c r="X4084" s="5">
        <f t="shared" si="534"/>
        <v>1</v>
      </c>
      <c r="Z4084" s="2" t="s">
        <v>3233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535"/>
        <v>14.4</v>
      </c>
      <c r="AL4084" s="5">
        <f t="shared" si="536"/>
        <v>1</v>
      </c>
    </row>
    <row r="4085" spans="1:38" hidden="1" x14ac:dyDescent="0.2">
      <c r="A4085" s="8">
        <v>2026</v>
      </c>
      <c r="B4085" s="8">
        <v>6</v>
      </c>
      <c r="C4085" s="8" t="s">
        <v>3386</v>
      </c>
      <c r="D4085" s="2" t="s">
        <v>1358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1359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532"/>
        <v>4.0019999999999998</v>
      </c>
      <c r="V4085" s="10">
        <f t="shared" si="533"/>
        <v>21.401999999999997</v>
      </c>
      <c r="W4085" s="2">
        <f>9.075*S4085</f>
        <v>9.0749999999999993</v>
      </c>
      <c r="X4085" s="5">
        <f t="shared" si="534"/>
        <v>0.47844827586206895</v>
      </c>
      <c r="Z4085" s="2" t="s">
        <v>3233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35"/>
        <v>8.3249999999999993</v>
      </c>
      <c r="AL4085" s="5">
        <f t="shared" si="536"/>
        <v>0.47844827586206895</v>
      </c>
    </row>
    <row r="4086" spans="1:38" hidden="1" x14ac:dyDescent="0.2">
      <c r="A4086" s="8">
        <v>2026</v>
      </c>
      <c r="B4086" s="8">
        <v>6</v>
      </c>
      <c r="C4086" s="8" t="s">
        <v>3386</v>
      </c>
      <c r="D4086" s="2" t="s">
        <v>1358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1359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532"/>
        <v>4.83</v>
      </c>
      <c r="V4086" s="10">
        <f t="shared" si="533"/>
        <v>25.83</v>
      </c>
      <c r="X4086" s="5">
        <f t="shared" si="534"/>
        <v>1</v>
      </c>
      <c r="Z4086" s="2" t="s">
        <v>3233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35"/>
        <v>21</v>
      </c>
      <c r="AL4086" s="5">
        <f t="shared" si="536"/>
        <v>1</v>
      </c>
    </row>
    <row r="4087" spans="1:38" hidden="1" x14ac:dyDescent="0.2">
      <c r="A4087" s="8">
        <v>2026</v>
      </c>
      <c r="B4087" s="8">
        <v>6</v>
      </c>
      <c r="C4087" s="8" t="s">
        <v>3386</v>
      </c>
      <c r="D4087" s="2" t="s">
        <v>1358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1359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532"/>
        <v>5.7960000000000003</v>
      </c>
      <c r="V4087" s="10">
        <f t="shared" si="533"/>
        <v>30.995999999999999</v>
      </c>
      <c r="X4087" s="5">
        <f t="shared" si="534"/>
        <v>1</v>
      </c>
      <c r="Z4087" s="2" t="s">
        <v>3233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35"/>
        <v>25.2</v>
      </c>
      <c r="AL4087" s="5">
        <f t="shared" si="536"/>
        <v>1</v>
      </c>
    </row>
    <row r="4088" spans="1:38" hidden="1" x14ac:dyDescent="0.2">
      <c r="A4088" s="8">
        <v>2026</v>
      </c>
      <c r="B4088" s="8">
        <v>6</v>
      </c>
      <c r="C4088" s="8" t="s">
        <v>3386</v>
      </c>
      <c r="D4088" s="2" t="s">
        <v>1358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1359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532"/>
        <v>6.9</v>
      </c>
      <c r="V4088" s="10">
        <f t="shared" si="533"/>
        <v>36.9</v>
      </c>
      <c r="X4088" s="5">
        <f t="shared" si="534"/>
        <v>1</v>
      </c>
      <c r="Z4088" s="2" t="s">
        <v>3233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35"/>
        <v>30</v>
      </c>
      <c r="AL4088" s="5">
        <f t="shared" si="536"/>
        <v>1</v>
      </c>
    </row>
    <row r="4089" spans="1:38" hidden="1" x14ac:dyDescent="0.2">
      <c r="A4089" s="8">
        <v>2026</v>
      </c>
      <c r="B4089" s="8">
        <v>6</v>
      </c>
      <c r="C4089" s="8" t="s">
        <v>3386</v>
      </c>
      <c r="D4089" s="2" t="s">
        <v>1358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1359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532"/>
        <v>4.1400000000000006</v>
      </c>
      <c r="V4089" s="10">
        <f t="shared" si="533"/>
        <v>22.14</v>
      </c>
      <c r="X4089" s="5">
        <f t="shared" si="534"/>
        <v>1</v>
      </c>
      <c r="Z4089" s="2" t="s">
        <v>3233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35"/>
        <v>18</v>
      </c>
      <c r="AL4089" s="5">
        <f t="shared" si="536"/>
        <v>1</v>
      </c>
    </row>
    <row r="4090" spans="1:38" hidden="1" x14ac:dyDescent="0.2">
      <c r="A4090" s="8">
        <v>2026</v>
      </c>
      <c r="B4090" s="8">
        <v>6</v>
      </c>
      <c r="C4090" s="8" t="s">
        <v>3386</v>
      </c>
      <c r="D4090" s="2" t="s">
        <v>1358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1359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532"/>
        <v>4.5540000000000003</v>
      </c>
      <c r="V4090" s="10">
        <f t="shared" si="533"/>
        <v>24.353999999999999</v>
      </c>
      <c r="X4090" s="5">
        <f t="shared" si="534"/>
        <v>1</v>
      </c>
      <c r="Z4090" s="2" t="s">
        <v>3233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35"/>
        <v>19.8</v>
      </c>
      <c r="AL4090" s="5">
        <f t="shared" si="536"/>
        <v>1</v>
      </c>
    </row>
    <row r="4091" spans="1:38" hidden="1" x14ac:dyDescent="0.2">
      <c r="A4091" s="8">
        <v>2026</v>
      </c>
      <c r="B4091" s="8">
        <v>6</v>
      </c>
      <c r="C4091" s="8" t="s">
        <v>3386</v>
      </c>
      <c r="D4091" s="2" t="s">
        <v>1358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1359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532"/>
        <v>5.2440000000000007</v>
      </c>
      <c r="V4091" s="10">
        <f t="shared" si="533"/>
        <v>28.044</v>
      </c>
      <c r="X4091" s="5">
        <f t="shared" si="534"/>
        <v>1</v>
      </c>
      <c r="Z4091" s="2" t="s">
        <v>3233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35"/>
        <v>22.8</v>
      </c>
      <c r="AL4091" s="5">
        <f t="shared" si="536"/>
        <v>1</v>
      </c>
    </row>
    <row r="4092" spans="1:38" hidden="1" x14ac:dyDescent="0.2">
      <c r="A4092" s="8">
        <v>2026</v>
      </c>
      <c r="B4092" s="8">
        <v>6</v>
      </c>
      <c r="C4092" s="8" t="s">
        <v>3386</v>
      </c>
      <c r="D4092" s="2" t="s">
        <v>1358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1359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532"/>
        <v>5.5200000000000005</v>
      </c>
      <c r="V4092" s="10">
        <f t="shared" si="533"/>
        <v>29.52</v>
      </c>
      <c r="W4092" s="2">
        <f>12.71*S4092</f>
        <v>12.71</v>
      </c>
      <c r="X4092" s="5">
        <f t="shared" si="534"/>
        <v>0.47041666666666665</v>
      </c>
      <c r="Z4092" s="2" t="s">
        <v>3233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35"/>
        <v>11.29</v>
      </c>
      <c r="AL4092" s="5">
        <f t="shared" si="536"/>
        <v>0.47041666666666665</v>
      </c>
    </row>
    <row r="4093" spans="1:38" hidden="1" x14ac:dyDescent="0.2">
      <c r="A4093" s="8">
        <v>2026</v>
      </c>
      <c r="B4093" s="8">
        <v>6</v>
      </c>
      <c r="C4093" s="8" t="s">
        <v>3386</v>
      </c>
      <c r="D4093" s="2" t="s">
        <v>1358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1359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532"/>
        <v>0</v>
      </c>
      <c r="V4093" s="10">
        <f t="shared" si="533"/>
        <v>0</v>
      </c>
      <c r="W4093" s="2">
        <v>10.6</v>
      </c>
      <c r="X4093" s="5">
        <v>0</v>
      </c>
      <c r="Z4093" s="2" t="s">
        <v>3233</v>
      </c>
      <c r="AA4093" s="2" t="s">
        <v>46</v>
      </c>
      <c r="AB4093" s="2" t="s">
        <v>57</v>
      </c>
      <c r="AC4093" s="2" t="s">
        <v>58</v>
      </c>
      <c r="AI4093" s="2"/>
    </row>
    <row r="4094" spans="1:38" hidden="1" x14ac:dyDescent="0.2">
      <c r="A4094" s="8">
        <v>2026</v>
      </c>
      <c r="B4094" s="8">
        <v>6</v>
      </c>
      <c r="C4094" s="8" t="s">
        <v>3386</v>
      </c>
      <c r="D4094" s="2" t="s">
        <v>1358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1359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532"/>
        <v>3.22</v>
      </c>
      <c r="V4094" s="10">
        <f t="shared" si="533"/>
        <v>17.22</v>
      </c>
      <c r="W4094" s="2">
        <f>0.0914*S4094</f>
        <v>9.1399999999999988</v>
      </c>
      <c r="X4094" s="5">
        <f t="shared" si="534"/>
        <v>0.34714285714285725</v>
      </c>
      <c r="Z4094" s="2" t="s">
        <v>3233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 t="shared" si="535"/>
        <v>4.8600000000000012</v>
      </c>
      <c r="AL4094" s="5">
        <f t="shared" si="536"/>
        <v>0.34714285714285725</v>
      </c>
    </row>
    <row r="4095" spans="1:38" hidden="1" x14ac:dyDescent="0.2">
      <c r="A4095" s="8">
        <v>2026</v>
      </c>
      <c r="B4095" s="8">
        <v>6</v>
      </c>
      <c r="C4095" s="8" t="s">
        <v>3386</v>
      </c>
      <c r="D4095" s="2" t="s">
        <v>1358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1359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532"/>
        <v>2.99</v>
      </c>
      <c r="V4095" s="10">
        <f t="shared" si="533"/>
        <v>15.99</v>
      </c>
      <c r="W4095" s="2">
        <f>0.082*S4095</f>
        <v>8.2000000000000011</v>
      </c>
      <c r="X4095" s="5">
        <f t="shared" si="534"/>
        <v>0.36923076923076914</v>
      </c>
      <c r="Z4095" s="2" t="s">
        <v>3233</v>
      </c>
      <c r="AA4095" s="2" t="s">
        <v>46</v>
      </c>
      <c r="AB4095" s="2" t="s">
        <v>61</v>
      </c>
      <c r="AC4095" s="2" t="s">
        <v>58</v>
      </c>
      <c r="AI4095" s="2"/>
      <c r="AK4095" s="2">
        <f t="shared" si="535"/>
        <v>4.7999999999999989</v>
      </c>
      <c r="AL4095" s="5">
        <f t="shared" si="536"/>
        <v>0.36923076923076914</v>
      </c>
    </row>
    <row r="4096" spans="1:38" hidden="1" x14ac:dyDescent="0.2">
      <c r="A4096" s="8">
        <v>2026</v>
      </c>
      <c r="B4096" s="8">
        <v>6</v>
      </c>
      <c r="C4096" s="8" t="s">
        <v>3386</v>
      </c>
      <c r="D4096" s="2" t="s">
        <v>1358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1359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532"/>
        <v>3.22</v>
      </c>
      <c r="V4096" s="10">
        <f t="shared" si="533"/>
        <v>17.22</v>
      </c>
      <c r="W4096" s="2">
        <f>0.0914*S4096</f>
        <v>9.1399999999999988</v>
      </c>
      <c r="X4096" s="5">
        <f t="shared" si="534"/>
        <v>0.34714285714285725</v>
      </c>
      <c r="Z4096" s="2" t="s">
        <v>3233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35"/>
        <v>4.8600000000000012</v>
      </c>
      <c r="AL4096" s="5">
        <f t="shared" si="536"/>
        <v>0.34714285714285725</v>
      </c>
    </row>
    <row r="4097" spans="1:38" hidden="1" x14ac:dyDescent="0.2">
      <c r="A4097" s="8">
        <v>2026</v>
      </c>
      <c r="B4097" s="8">
        <v>6</v>
      </c>
      <c r="C4097" s="8" t="s">
        <v>3386</v>
      </c>
      <c r="D4097" s="2" t="s">
        <v>1358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1359</v>
      </c>
      <c r="L4097" s="2" t="s">
        <v>419</v>
      </c>
      <c r="M4097" s="2" t="s">
        <v>41</v>
      </c>
      <c r="P4097" s="2" t="s">
        <v>43</v>
      </c>
      <c r="Q4097" s="2" t="s">
        <v>2971</v>
      </c>
      <c r="R4097" s="2" t="s">
        <v>2972</v>
      </c>
      <c r="S4097" s="9">
        <v>1</v>
      </c>
      <c r="T4097" s="10">
        <v>0</v>
      </c>
      <c r="U4097" s="2">
        <f t="shared" si="532"/>
        <v>0</v>
      </c>
      <c r="V4097" s="10">
        <f t="shared" si="533"/>
        <v>0</v>
      </c>
      <c r="X4097" s="5">
        <v>0</v>
      </c>
      <c r="Z4097" s="2" t="s">
        <v>3233</v>
      </c>
      <c r="AA4097" s="2" t="s">
        <v>46</v>
      </c>
      <c r="AI4097" s="2"/>
    </row>
    <row r="4098" spans="1:38" hidden="1" x14ac:dyDescent="0.2">
      <c r="A4098" s="8">
        <v>2026</v>
      </c>
      <c r="B4098" s="8">
        <v>6</v>
      </c>
      <c r="C4098" s="8" t="s">
        <v>3386</v>
      </c>
      <c r="D4098" s="2" t="s">
        <v>1358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1359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2</v>
      </c>
      <c r="T4098" s="10">
        <v>40</v>
      </c>
      <c r="U4098" s="2">
        <f t="shared" si="532"/>
        <v>9.2000000000000011</v>
      </c>
      <c r="V4098" s="10">
        <f t="shared" si="533"/>
        <v>49.2</v>
      </c>
      <c r="X4098" s="5">
        <f t="shared" si="534"/>
        <v>1</v>
      </c>
      <c r="Z4098" s="2" t="s">
        <v>3233</v>
      </c>
      <c r="AA4098" s="2" t="s">
        <v>46</v>
      </c>
      <c r="AB4098" s="2" t="s">
        <v>57</v>
      </c>
      <c r="AC4098" s="2" t="s">
        <v>58</v>
      </c>
      <c r="AI4098" s="2"/>
      <c r="AK4098" s="2">
        <f t="shared" si="535"/>
        <v>40</v>
      </c>
      <c r="AL4098" s="5">
        <f t="shared" si="536"/>
        <v>1</v>
      </c>
    </row>
    <row r="4099" spans="1:38" hidden="1" x14ac:dyDescent="0.2">
      <c r="A4099" s="8">
        <v>2026</v>
      </c>
      <c r="B4099" s="8">
        <v>6</v>
      </c>
      <c r="C4099" s="8" t="s">
        <v>3386</v>
      </c>
      <c r="D4099" s="2" t="s">
        <v>1358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1359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532"/>
        <v>0.69000000000000006</v>
      </c>
      <c r="V4099" s="10">
        <f t="shared" si="533"/>
        <v>3.69</v>
      </c>
      <c r="X4099" s="5">
        <f t="shared" si="534"/>
        <v>1</v>
      </c>
      <c r="Z4099" s="2" t="s">
        <v>3233</v>
      </c>
      <c r="AA4099" s="2" t="s">
        <v>46</v>
      </c>
      <c r="AI4099" s="2"/>
      <c r="AK4099" s="2">
        <f t="shared" si="535"/>
        <v>3</v>
      </c>
      <c r="AL4099" s="5">
        <f t="shared" si="536"/>
        <v>1</v>
      </c>
    </row>
    <row r="4100" spans="1:38" hidden="1" x14ac:dyDescent="0.2">
      <c r="A4100" s="8">
        <v>2026</v>
      </c>
      <c r="B4100" s="8">
        <v>6</v>
      </c>
      <c r="C4100" s="8" t="s">
        <v>3386</v>
      </c>
      <c r="D4100" s="2" t="s">
        <v>1358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1359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532"/>
        <v>4.83</v>
      </c>
      <c r="V4100" s="10">
        <f t="shared" si="533"/>
        <v>25.83</v>
      </c>
      <c r="X4100" s="5">
        <f t="shared" si="534"/>
        <v>1</v>
      </c>
      <c r="Z4100" s="2" t="s">
        <v>3233</v>
      </c>
      <c r="AA4100" s="2" t="s">
        <v>46</v>
      </c>
      <c r="AI4100" s="2"/>
      <c r="AK4100" s="2">
        <f t="shared" si="535"/>
        <v>21</v>
      </c>
      <c r="AL4100" s="5">
        <f t="shared" si="536"/>
        <v>1</v>
      </c>
    </row>
    <row r="4101" spans="1:38" hidden="1" x14ac:dyDescent="0.2">
      <c r="A4101" s="8">
        <v>2026</v>
      </c>
      <c r="B4101" s="8">
        <v>6</v>
      </c>
      <c r="C4101" s="8" t="s">
        <v>3386</v>
      </c>
      <c r="D4101" s="2" t="s">
        <v>1358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1359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532"/>
        <v>3.3120000000000003</v>
      </c>
      <c r="V4101" s="10">
        <f t="shared" si="533"/>
        <v>17.712</v>
      </c>
      <c r="X4101" s="5">
        <f t="shared" si="534"/>
        <v>1</v>
      </c>
      <c r="Z4101" s="2" t="s">
        <v>3233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535"/>
        <v>14.4</v>
      </c>
      <c r="AL4101" s="5">
        <f t="shared" si="536"/>
        <v>1</v>
      </c>
    </row>
    <row r="4102" spans="1:38" hidden="1" x14ac:dyDescent="0.2">
      <c r="A4102" s="8">
        <v>2026</v>
      </c>
      <c r="B4102" s="8">
        <v>6</v>
      </c>
      <c r="C4102" s="8" t="s">
        <v>3386</v>
      </c>
      <c r="D4102" s="2" t="s">
        <v>1358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1359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532"/>
        <v>2.7600000000000002</v>
      </c>
      <c r="V4102" s="10">
        <f t="shared" si="533"/>
        <v>14.76</v>
      </c>
      <c r="X4102" s="5">
        <f t="shared" si="534"/>
        <v>1</v>
      </c>
      <c r="Z4102" s="2" t="s">
        <v>3233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35"/>
        <v>12</v>
      </c>
      <c r="AL4102" s="5">
        <f t="shared" si="536"/>
        <v>1</v>
      </c>
    </row>
    <row r="4103" spans="1:38" hidden="1" x14ac:dyDescent="0.2">
      <c r="A4103" s="8">
        <v>2026</v>
      </c>
      <c r="B4103" s="8">
        <v>6</v>
      </c>
      <c r="C4103" s="8" t="s">
        <v>3386</v>
      </c>
      <c r="D4103" s="2" t="s">
        <v>1358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1359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532"/>
        <v>2.7600000000000002</v>
      </c>
      <c r="V4103" s="10">
        <f t="shared" si="533"/>
        <v>14.76</v>
      </c>
      <c r="X4103" s="5">
        <f t="shared" si="534"/>
        <v>1</v>
      </c>
      <c r="Z4103" s="2" t="s">
        <v>3233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35"/>
        <v>12</v>
      </c>
      <c r="AL4103" s="5">
        <f t="shared" si="536"/>
        <v>1</v>
      </c>
    </row>
    <row r="4104" spans="1:38" hidden="1" x14ac:dyDescent="0.2">
      <c r="A4104" s="8">
        <v>2026</v>
      </c>
      <c r="B4104" s="8">
        <v>6</v>
      </c>
      <c r="C4104" s="8" t="s">
        <v>3386</v>
      </c>
      <c r="D4104" s="2" t="s">
        <v>1358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1359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532"/>
        <v>5.29</v>
      </c>
      <c r="V4104" s="10">
        <f t="shared" si="533"/>
        <v>28.29</v>
      </c>
      <c r="X4104" s="5">
        <f t="shared" si="534"/>
        <v>1</v>
      </c>
      <c r="Z4104" s="2" t="s">
        <v>3233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535"/>
        <v>23</v>
      </c>
      <c r="AL4104" s="5">
        <f t="shared" si="536"/>
        <v>1</v>
      </c>
    </row>
    <row r="4105" spans="1:38" hidden="1" x14ac:dyDescent="0.2">
      <c r="A4105" s="8">
        <v>2026</v>
      </c>
      <c r="B4105" s="8">
        <v>6</v>
      </c>
      <c r="C4105" s="8" t="s">
        <v>3386</v>
      </c>
      <c r="D4105" s="2" t="s">
        <v>1358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1359</v>
      </c>
      <c r="L4105" s="2" t="s">
        <v>419</v>
      </c>
      <c r="M4105" s="2" t="s">
        <v>41</v>
      </c>
      <c r="P4105" s="2" t="s">
        <v>43</v>
      </c>
      <c r="Q4105" s="2" t="s">
        <v>3046</v>
      </c>
      <c r="R4105" s="2" t="s">
        <v>3047</v>
      </c>
      <c r="S4105" s="9">
        <v>1</v>
      </c>
      <c r="T4105" s="10">
        <v>7.8</v>
      </c>
      <c r="U4105" s="2">
        <f t="shared" si="532"/>
        <v>1.794</v>
      </c>
      <c r="V4105" s="10">
        <f t="shared" si="533"/>
        <v>9.5939999999999994</v>
      </c>
      <c r="X4105" s="5">
        <f t="shared" si="534"/>
        <v>1</v>
      </c>
      <c r="Z4105" s="2" t="s">
        <v>3233</v>
      </c>
      <c r="AA4105" s="2" t="s">
        <v>46</v>
      </c>
      <c r="AI4105" s="2"/>
      <c r="AK4105" s="2">
        <f t="shared" si="535"/>
        <v>7.8</v>
      </c>
      <c r="AL4105" s="5">
        <f t="shared" si="536"/>
        <v>1</v>
      </c>
    </row>
    <row r="4106" spans="1:38" hidden="1" x14ac:dyDescent="0.2">
      <c r="A4106" s="8">
        <v>2026</v>
      </c>
      <c r="B4106" s="8">
        <v>6</v>
      </c>
      <c r="C4106" s="8" t="s">
        <v>3386</v>
      </c>
      <c r="D4106" s="2" t="s">
        <v>1358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1359</v>
      </c>
      <c r="L4106" s="2" t="s">
        <v>419</v>
      </c>
      <c r="M4106" s="2" t="s">
        <v>41</v>
      </c>
      <c r="P4106" s="2" t="s">
        <v>85</v>
      </c>
      <c r="Q4106" s="2" t="s">
        <v>1977</v>
      </c>
      <c r="R4106" s="2" t="s">
        <v>1978</v>
      </c>
      <c r="S4106" s="9">
        <v>1</v>
      </c>
      <c r="T4106" s="10">
        <v>12</v>
      </c>
      <c r="U4106" s="2">
        <f>T4106*23%</f>
        <v>2.7600000000000002</v>
      </c>
      <c r="V4106" s="2">
        <f t="shared" si="533"/>
        <v>14.76</v>
      </c>
      <c r="X4106" s="5">
        <f t="shared" si="534"/>
        <v>1</v>
      </c>
      <c r="Z4106" s="2" t="s">
        <v>3233</v>
      </c>
      <c r="AA4106" s="2" t="s">
        <v>3387</v>
      </c>
      <c r="AI4106" s="2"/>
      <c r="AK4106" s="2">
        <f t="shared" si="535"/>
        <v>12</v>
      </c>
      <c r="AL4106" s="5">
        <f t="shared" si="536"/>
        <v>1</v>
      </c>
    </row>
    <row r="4107" spans="1:38" hidden="1" x14ac:dyDescent="0.2">
      <c r="A4107" s="8">
        <v>2026</v>
      </c>
      <c r="B4107" s="8">
        <v>6</v>
      </c>
      <c r="C4107" s="8" t="s">
        <v>3386</v>
      </c>
      <c r="D4107" s="2" t="s">
        <v>1358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1359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ref="U4107:U4108" si="537">T4107*23%</f>
        <v>2.7600000000000002</v>
      </c>
      <c r="V4107" s="2">
        <f t="shared" ref="V4107:V4108" si="538">T4107+U4107</f>
        <v>14.76</v>
      </c>
      <c r="X4107" s="5">
        <f t="shared" si="534"/>
        <v>1</v>
      </c>
      <c r="Z4107" s="2" t="s">
        <v>3233</v>
      </c>
      <c r="AA4107" s="2" t="s">
        <v>3387</v>
      </c>
      <c r="AI4107" s="2"/>
      <c r="AK4107" s="2">
        <f t="shared" si="535"/>
        <v>12</v>
      </c>
      <c r="AL4107" s="5">
        <f t="shared" si="536"/>
        <v>1</v>
      </c>
    </row>
    <row r="4108" spans="1:38" hidden="1" x14ac:dyDescent="0.2">
      <c r="A4108" s="8">
        <v>2026</v>
      </c>
      <c r="B4108" s="8">
        <v>6</v>
      </c>
      <c r="C4108" s="8" t="s">
        <v>3386</v>
      </c>
      <c r="D4108" s="2" t="s">
        <v>1358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1359</v>
      </c>
      <c r="L4108" s="2" t="s">
        <v>419</v>
      </c>
      <c r="M4108" s="2" t="s">
        <v>41</v>
      </c>
      <c r="P4108" s="2" t="s">
        <v>85</v>
      </c>
      <c r="Q4108" s="2" t="s">
        <v>3048</v>
      </c>
      <c r="R4108" s="2" t="s">
        <v>3049</v>
      </c>
      <c r="S4108" s="9">
        <v>1</v>
      </c>
      <c r="T4108" s="10">
        <v>3</v>
      </c>
      <c r="U4108" s="2">
        <f t="shared" si="537"/>
        <v>0.69000000000000006</v>
      </c>
      <c r="V4108" s="2">
        <f t="shared" si="538"/>
        <v>3.69</v>
      </c>
      <c r="X4108" s="5">
        <f t="shared" si="534"/>
        <v>1</v>
      </c>
      <c r="Z4108" s="2" t="s">
        <v>3233</v>
      </c>
      <c r="AA4108" s="2" t="s">
        <v>3387</v>
      </c>
      <c r="AI4108" s="2"/>
      <c r="AK4108" s="2">
        <f t="shared" si="535"/>
        <v>3</v>
      </c>
      <c r="AL4108" s="5">
        <f t="shared" si="536"/>
        <v>1</v>
      </c>
    </row>
    <row r="4109" spans="1:38" hidden="1" x14ac:dyDescent="0.2">
      <c r="A4109" s="8">
        <v>2026</v>
      </c>
      <c r="B4109" s="8">
        <v>6</v>
      </c>
      <c r="C4109" s="8"/>
      <c r="D4109" s="2" t="s">
        <v>2563</v>
      </c>
      <c r="P4109" s="2" t="s">
        <v>115</v>
      </c>
      <c r="Q4109" s="2" t="s">
        <v>3050</v>
      </c>
      <c r="R4109" s="2" t="s">
        <v>3051</v>
      </c>
      <c r="S4109" s="9">
        <v>1</v>
      </c>
      <c r="T4109" s="10">
        <v>140.37</v>
      </c>
      <c r="U4109" s="2">
        <f>T4109*23%</f>
        <v>32.2851</v>
      </c>
      <c r="V4109" s="10">
        <f>T4109+U4109</f>
        <v>172.6551</v>
      </c>
      <c r="X4109" s="5">
        <f t="shared" si="534"/>
        <v>1</v>
      </c>
      <c r="AI4109" s="2"/>
      <c r="AK4109" s="2">
        <f t="shared" si="535"/>
        <v>140.37</v>
      </c>
      <c r="AL4109" s="5">
        <f t="shared" si="536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2563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>T4110*23%</f>
        <v>76.59</v>
      </c>
      <c r="V4110" s="2">
        <f>T4110+U4110</f>
        <v>409.59000000000003</v>
      </c>
      <c r="W4110" s="2">
        <f>T4110*40%</f>
        <v>133.20000000000002</v>
      </c>
      <c r="X4110" s="5">
        <f>(T4110-W4110)/T4110</f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>T4110-W4110</f>
        <v>199.79999999999998</v>
      </c>
      <c r="AL4110" s="5">
        <f>(T4110-W4110)/T4110</f>
        <v>0.6</v>
      </c>
    </row>
    <row r="4111" spans="1:38" hidden="1" x14ac:dyDescent="0.2">
      <c r="A4111" s="8">
        <v>2026</v>
      </c>
      <c r="B4111" s="8">
        <v>6</v>
      </c>
      <c r="C4111" s="8"/>
      <c r="D4111" s="2" t="s">
        <v>2563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>T4111*23%</f>
        <v>25.3</v>
      </c>
      <c r="V4111" s="2">
        <f>T4111+U4111</f>
        <v>135.30000000000001</v>
      </c>
      <c r="W4111" s="2">
        <f>T4111*50%</f>
        <v>55</v>
      </c>
      <c r="X4111" s="5">
        <f>(T4111-W4111)/T4111</f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>T4111-W4111</f>
        <v>55</v>
      </c>
      <c r="AL4111" s="5">
        <f>(T4111-W4111)/T4111</f>
        <v>0.5</v>
      </c>
    </row>
    <row r="4112" spans="1:38" hidden="1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3052</v>
      </c>
      <c r="R4112" s="2" t="s">
        <v>3053</v>
      </c>
      <c r="S4112" s="9">
        <v>1</v>
      </c>
      <c r="T4112" s="10">
        <v>76.150000000000006</v>
      </c>
      <c r="U4112" s="2">
        <f>T4112*23%</f>
        <v>17.514500000000002</v>
      </c>
      <c r="V4112" s="10">
        <f>T4112+U4112</f>
        <v>93.664500000000004</v>
      </c>
      <c r="X4112" s="5">
        <f t="shared" ref="X4112" si="539">(T4112-W4112)/T4112</f>
        <v>1</v>
      </c>
      <c r="AI4112" s="2"/>
      <c r="AK4112" s="2">
        <f t="shared" ref="AK4112" si="540">T4112-W4112</f>
        <v>76.150000000000006</v>
      </c>
      <c r="AL4112" s="5">
        <f t="shared" ref="AL4112" si="541">(T4112-W4112)/T4112</f>
        <v>1</v>
      </c>
    </row>
    <row r="4113" spans="1:38" hidden="1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>T4113*23%</f>
        <v>275.72399999999999</v>
      </c>
      <c r="V4113" s="10">
        <f>T4113+U4113</f>
        <v>1474.5239999999999</v>
      </c>
      <c r="W4113" s="2">
        <f>346.57*S4113</f>
        <v>693.14</v>
      </c>
      <c r="X4113" s="5">
        <f>(T4113-W4113)/T4113</f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>T4113-W4113</f>
        <v>505.65999999999997</v>
      </c>
      <c r="AL4113" s="5">
        <f>(T4113-W4113)/T4113</f>
        <v>0.42180513847180512</v>
      </c>
    </row>
    <row r="4114" spans="1:38" hidden="1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ref="U4114:U4115" si="542">T4114*23%</f>
        <v>96.367699999999999</v>
      </c>
      <c r="V4114" s="10">
        <f t="shared" ref="V4114:V4115" si="543">T4114+U4114</f>
        <v>515.35770000000002</v>
      </c>
      <c r="X4114" s="5">
        <f t="shared" ref="X4114:X4115" si="544">(T4114-W4114)/T4114</f>
        <v>1</v>
      </c>
      <c r="AI4114" s="2"/>
      <c r="AK4114" s="2">
        <f t="shared" ref="AK4114:AK4115" si="545">T4114-W4114</f>
        <v>418.99</v>
      </c>
      <c r="AL4114" s="5">
        <f t="shared" ref="AL4114:AL4115" si="546">(T4114-W4114)/T4114</f>
        <v>1</v>
      </c>
    </row>
    <row r="4115" spans="1:38" hidden="1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2217</v>
      </c>
      <c r="R4115" s="2" t="s">
        <v>2218</v>
      </c>
      <c r="S4115" s="9">
        <v>1</v>
      </c>
      <c r="T4115" s="10">
        <v>131.16</v>
      </c>
      <c r="U4115" s="2">
        <f t="shared" si="542"/>
        <v>30.166800000000002</v>
      </c>
      <c r="V4115" s="10">
        <f t="shared" si="543"/>
        <v>161.32679999999999</v>
      </c>
      <c r="X4115" s="5">
        <f t="shared" si="544"/>
        <v>1</v>
      </c>
      <c r="AI4115" s="2"/>
      <c r="AK4115" s="2">
        <f t="shared" si="545"/>
        <v>131.16</v>
      </c>
      <c r="AL4115" s="5">
        <f t="shared" si="546"/>
        <v>1</v>
      </c>
    </row>
    <row r="4116" spans="1:38" hidden="1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>T4116*23%</f>
        <v>54.74</v>
      </c>
      <c r="V4116" s="2">
        <f>T4116+U4116</f>
        <v>292.74</v>
      </c>
      <c r="W4116" s="2">
        <f>T4116*40%</f>
        <v>95.2</v>
      </c>
      <c r="X4116" s="5">
        <f>(T4116-W4116)/T4116</f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>T4116-W4116</f>
        <v>142.80000000000001</v>
      </c>
      <c r="AL4116" s="5">
        <f>(T4116-W4116)/T4116</f>
        <v>0.60000000000000009</v>
      </c>
    </row>
    <row r="4117" spans="1:38" hidden="1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>T4117*23%</f>
        <v>12.65</v>
      </c>
      <c r="V4117" s="2">
        <f>T4117+U4117</f>
        <v>67.650000000000006</v>
      </c>
      <c r="W4117" s="2">
        <f>T4117*50%</f>
        <v>27.5</v>
      </c>
      <c r="X4117" s="5">
        <f>(T4117-W4117)/T4117</f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>T4117-W4117</f>
        <v>27.5</v>
      </c>
      <c r="AL4117" s="5">
        <f>(T4117-W4117)/T4117</f>
        <v>0.5</v>
      </c>
    </row>
    <row r="4118" spans="1:38" hidden="1" x14ac:dyDescent="0.2">
      <c r="A4118" s="8">
        <v>2026</v>
      </c>
      <c r="B4118" s="8">
        <v>6</v>
      </c>
      <c r="C4118" s="8"/>
      <c r="D4118" s="2" t="s">
        <v>1529</v>
      </c>
      <c r="P4118" s="2" t="s">
        <v>283</v>
      </c>
      <c r="Q4118" s="2" t="s">
        <v>3054</v>
      </c>
      <c r="R4118" s="2" t="s">
        <v>3055</v>
      </c>
      <c r="S4118" s="9">
        <v>1</v>
      </c>
      <c r="T4118" s="10">
        <v>17.5</v>
      </c>
      <c r="U4118" s="2">
        <f>T4118*23%</f>
        <v>4.0250000000000004</v>
      </c>
      <c r="V4118" s="10">
        <f>T4118+U4118</f>
        <v>21.524999999999999</v>
      </c>
      <c r="X4118" s="5">
        <f t="shared" ref="X4118" si="547">(T4118-W4118)/T4118</f>
        <v>1</v>
      </c>
      <c r="AI4118" s="2"/>
      <c r="AK4118" s="2">
        <f t="shared" ref="AK4118" si="548">T4118-W4118</f>
        <v>17.5</v>
      </c>
      <c r="AL4118" s="5">
        <f t="shared" ref="AL4118" si="549">(T4118-W4118)/T4118</f>
        <v>1</v>
      </c>
    </row>
    <row r="4119" spans="1:38" hidden="1" x14ac:dyDescent="0.2">
      <c r="A4119" s="8">
        <v>2026</v>
      </c>
      <c r="B4119" s="8">
        <v>6</v>
      </c>
      <c r="C4119" s="8"/>
      <c r="D4119" s="2" t="s">
        <v>1529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>T4119*23%</f>
        <v>1.84</v>
      </c>
      <c r="V4119" s="10">
        <f>T4119+U4119</f>
        <v>9.84</v>
      </c>
      <c r="X4119" s="5">
        <f t="shared" ref="X4119:X4120" si="550">(T4119-W4119)/T4119</f>
        <v>1</v>
      </c>
      <c r="Z4119" s="2" t="s">
        <v>170</v>
      </c>
      <c r="AA4119" s="2" t="s">
        <v>170</v>
      </c>
      <c r="AI4119" s="2"/>
      <c r="AK4119" s="2">
        <f t="shared" ref="AK4119" si="551">T4119-W4119</f>
        <v>8</v>
      </c>
      <c r="AL4119" s="5">
        <f t="shared" ref="AL4119" si="552">(T4119-W4119)/T4119</f>
        <v>1</v>
      </c>
    </row>
    <row r="4120" spans="1:38" hidden="1" x14ac:dyDescent="0.2">
      <c r="A4120" s="8">
        <v>2026</v>
      </c>
      <c r="B4120" s="8">
        <v>6</v>
      </c>
      <c r="C4120" s="8"/>
      <c r="D4120" s="2" t="s">
        <v>2519</v>
      </c>
      <c r="Q4120" s="2" t="s">
        <v>2981</v>
      </c>
      <c r="R4120" s="2" t="s">
        <v>2982</v>
      </c>
      <c r="S4120" s="9">
        <v>1</v>
      </c>
      <c r="T4120" s="10">
        <v>2460</v>
      </c>
      <c r="U4120" s="2">
        <f>T4120*23%</f>
        <v>565.80000000000007</v>
      </c>
      <c r="V4120" s="10">
        <f>T4120+U4120</f>
        <v>3025.8</v>
      </c>
      <c r="X4120" s="5">
        <f t="shared" si="550"/>
        <v>1</v>
      </c>
      <c r="Z4120" s="2" t="s">
        <v>105</v>
      </c>
      <c r="AI4120" s="2"/>
      <c r="AL4120" s="2"/>
    </row>
    <row r="4121" spans="1:38" hidden="1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3056</v>
      </c>
      <c r="R4121" s="2" t="s">
        <v>3057</v>
      </c>
      <c r="S4121" s="9">
        <v>2</v>
      </c>
      <c r="T4121" s="10">
        <v>17.8</v>
      </c>
      <c r="U4121" s="2">
        <f>T4121*23%</f>
        <v>4.0940000000000003</v>
      </c>
      <c r="V4121" s="10">
        <f>T4121+U4121</f>
        <v>21.894000000000002</v>
      </c>
      <c r="W4121" s="2">
        <f>6.23*2</f>
        <v>12.46</v>
      </c>
      <c r="X4121" s="5">
        <f t="shared" ref="X4121:X4124" si="553">(T4121-W4121)/T4121</f>
        <v>0.3</v>
      </c>
      <c r="Z4121" s="2" t="s">
        <v>3233</v>
      </c>
      <c r="AA4121" s="2" t="s">
        <v>156</v>
      </c>
      <c r="AB4121" s="2" t="s">
        <v>3411</v>
      </c>
      <c r="AC4121" s="2" t="s">
        <v>1330</v>
      </c>
      <c r="AI4121" s="2"/>
      <c r="AK4121" s="2">
        <f t="shared" ref="AK4121" si="554">T4121-W4121</f>
        <v>5.34</v>
      </c>
      <c r="AL4121" s="5">
        <f t="shared" ref="AL4121" si="555">(T4121-W4121)/T4121</f>
        <v>0.3</v>
      </c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1785</v>
      </c>
      <c r="R4122" s="2" t="s">
        <v>1786</v>
      </c>
      <c r="S4122" s="9">
        <v>1</v>
      </c>
      <c r="T4122" s="10">
        <v>2150</v>
      </c>
      <c r="U4122" s="2">
        <f t="shared" ref="U4122:U4123" si="556">T4122*23%</f>
        <v>494.5</v>
      </c>
      <c r="V4122" s="10">
        <f t="shared" ref="V4122:V4123" si="557">T4122+U4122</f>
        <v>2644.5</v>
      </c>
      <c r="X4122" s="5">
        <f t="shared" si="553"/>
        <v>1</v>
      </c>
      <c r="Z4122" s="2" t="s">
        <v>105</v>
      </c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1331</v>
      </c>
      <c r="R4123" s="2" t="s">
        <v>1332</v>
      </c>
      <c r="S4123" s="9">
        <v>1</v>
      </c>
      <c r="T4123" s="10">
        <v>2190</v>
      </c>
      <c r="U4123" s="2">
        <f t="shared" si="556"/>
        <v>503.70000000000005</v>
      </c>
      <c r="V4123" s="10">
        <f t="shared" si="557"/>
        <v>2693.7</v>
      </c>
      <c r="W4123" s="2">
        <v>1578</v>
      </c>
      <c r="X4123" s="5">
        <f t="shared" si="553"/>
        <v>0.27945205479452057</v>
      </c>
      <c r="Z4123" s="2" t="s">
        <v>105</v>
      </c>
      <c r="AA4123" s="2" t="s">
        <v>388</v>
      </c>
      <c r="AB4123" s="2" t="s">
        <v>1333</v>
      </c>
      <c r="AC4123" s="2" t="s">
        <v>1330</v>
      </c>
      <c r="AI4123" s="2"/>
      <c r="AK4123" s="2">
        <f t="shared" ref="AK4123:AK4124" si="558">T4123-W4123</f>
        <v>612</v>
      </c>
      <c r="AL4123" s="5">
        <f t="shared" ref="AL4123:AL4124" si="559">(T4123-W4123)/T4123</f>
        <v>0.27945205479452057</v>
      </c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>T4124*23%</f>
        <v>161.31050000000002</v>
      </c>
      <c r="V4124" s="10">
        <f>T4124+U4124</f>
        <v>862.66050000000007</v>
      </c>
      <c r="X4124" s="5">
        <f t="shared" si="553"/>
        <v>1</v>
      </c>
      <c r="Z4124" s="2" t="s">
        <v>120</v>
      </c>
      <c r="AA4124" s="2" t="s">
        <v>3388</v>
      </c>
      <c r="AI4124" s="2"/>
      <c r="AK4124" s="2">
        <f t="shared" si="558"/>
        <v>701.35</v>
      </c>
      <c r="AL4124" s="5">
        <f t="shared" si="559"/>
        <v>1</v>
      </c>
    </row>
    <row r="4125" spans="1:38" hidden="1" x14ac:dyDescent="0.2">
      <c r="A4125" s="8">
        <v>2026</v>
      </c>
      <c r="B4125" s="8">
        <v>6</v>
      </c>
      <c r="C4125" s="8" t="s">
        <v>3400</v>
      </c>
      <c r="D4125" s="2" t="s">
        <v>2950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>T4125*23%</f>
        <v>52.900000000000006</v>
      </c>
      <c r="V4125" s="10">
        <f>T4125+U4125</f>
        <v>282.89999999999998</v>
      </c>
      <c r="W4125" s="2">
        <v>122.25</v>
      </c>
      <c r="X4125" s="5">
        <f>(T4125-W4125)/T4125</f>
        <v>0.46847826086956523</v>
      </c>
      <c r="Z4125" s="2" t="s">
        <v>3233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hidden="1" x14ac:dyDescent="0.2">
      <c r="A4126" s="8">
        <v>2026</v>
      </c>
      <c r="B4126" s="8">
        <v>6</v>
      </c>
      <c r="C4126" s="8" t="s">
        <v>3400</v>
      </c>
      <c r="D4126" s="2" t="s">
        <v>2950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>T4126*23%</f>
        <v>0.34040000000000004</v>
      </c>
      <c r="V4126" s="10">
        <f>T4126+U4126</f>
        <v>1.8204</v>
      </c>
      <c r="W4126" s="2">
        <f>1.48*S4126</f>
        <v>1.48</v>
      </c>
      <c r="X4126" s="5">
        <f>(T4126-W4126)/T4126</f>
        <v>0</v>
      </c>
      <c r="Z4126" s="2" t="s">
        <v>3233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hidden="1" x14ac:dyDescent="0.2">
      <c r="A4127" s="8">
        <v>2026</v>
      </c>
      <c r="B4127" s="8">
        <v>6</v>
      </c>
      <c r="C4127" s="8"/>
      <c r="D4127" s="2" t="s">
        <v>3112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ref="U4127:U4128" si="560">T4127*23%</f>
        <v>2053.9</v>
      </c>
      <c r="V4127" s="10">
        <f t="shared" ref="V4127:V4128" si="561">T4127+U4127</f>
        <v>10983.9</v>
      </c>
      <c r="X4127" s="5">
        <f t="shared" ref="X4127:X4129" si="562">(T4127-W4127)/T4127</f>
        <v>1</v>
      </c>
      <c r="Z4127" s="2" t="s">
        <v>105</v>
      </c>
      <c r="AI4127" s="2"/>
      <c r="AL4127" s="2"/>
    </row>
    <row r="4128" spans="1:38" hidden="1" x14ac:dyDescent="0.2">
      <c r="A4128" s="8">
        <v>2026</v>
      </c>
      <c r="B4128" s="8">
        <v>6</v>
      </c>
      <c r="C4128" s="8"/>
      <c r="D4128" s="2" t="s">
        <v>3112</v>
      </c>
      <c r="P4128" s="2" t="s">
        <v>115</v>
      </c>
      <c r="Q4128" s="2" t="s">
        <v>1583</v>
      </c>
      <c r="R4128" s="2" t="s">
        <v>1584</v>
      </c>
      <c r="S4128" s="9">
        <v>1</v>
      </c>
      <c r="T4128" s="10">
        <v>7490</v>
      </c>
      <c r="U4128" s="2">
        <f t="shared" si="560"/>
        <v>1722.7</v>
      </c>
      <c r="V4128" s="10">
        <f t="shared" si="561"/>
        <v>9212.7000000000007</v>
      </c>
      <c r="X4128" s="5">
        <f t="shared" si="562"/>
        <v>1</v>
      </c>
      <c r="Z4128" s="2" t="s">
        <v>105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383</v>
      </c>
      <c r="Q4129" s="2" t="s">
        <v>3058</v>
      </c>
      <c r="R4129" s="2" t="s">
        <v>3059</v>
      </c>
      <c r="S4129" s="9">
        <v>1</v>
      </c>
      <c r="T4129" s="10">
        <v>10</v>
      </c>
      <c r="U4129" s="2">
        <f>T4129*23%</f>
        <v>2.3000000000000003</v>
      </c>
      <c r="V4129" s="10">
        <f>T4129+U4129</f>
        <v>12.3</v>
      </c>
      <c r="X4129" s="5">
        <f t="shared" si="562"/>
        <v>1</v>
      </c>
      <c r="AI4129" s="2"/>
      <c r="AK4129" s="2">
        <f t="shared" ref="AK4129" si="563">T4129-W4129</f>
        <v>10</v>
      </c>
      <c r="AL4129" s="5">
        <f t="shared" ref="AL4129" si="564">(T4129-W4129)/T4129</f>
        <v>1</v>
      </c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P4130" s="2" t="s">
        <v>167</v>
      </c>
      <c r="Q4130" s="2" t="s">
        <v>2187</v>
      </c>
      <c r="R4130" s="2" t="s">
        <v>2188</v>
      </c>
      <c r="S4130" s="9">
        <v>4</v>
      </c>
      <c r="T4130" s="10">
        <v>12</v>
      </c>
      <c r="U4130" s="2">
        <f>T4130*23%</f>
        <v>2.7600000000000002</v>
      </c>
      <c r="V4130" s="10">
        <f>T4130+U4130</f>
        <v>14.76</v>
      </c>
      <c r="X4130" s="5">
        <f>(T4130-W4130)/T4130</f>
        <v>1</v>
      </c>
      <c r="Z4130" s="2" t="s">
        <v>3233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3060</v>
      </c>
      <c r="R4131" s="2" t="s">
        <v>3061</v>
      </c>
      <c r="S4131" s="9">
        <v>2</v>
      </c>
      <c r="T4131" s="10">
        <v>4</v>
      </c>
      <c r="U4131" s="2">
        <f>T4131*23%</f>
        <v>0.92</v>
      </c>
      <c r="V4131" s="10">
        <f>T4131+U4131</f>
        <v>4.92</v>
      </c>
      <c r="X4131" s="5">
        <f>(T4131-W4131)/T4131</f>
        <v>1</v>
      </c>
      <c r="Z4131" s="2" t="s">
        <v>3233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>T4132*23%</f>
        <v>1.1500000000000001</v>
      </c>
      <c r="V4132" s="10">
        <f>T4132+U4132</f>
        <v>6.15</v>
      </c>
      <c r="X4132" s="5">
        <f t="shared" ref="X4132" si="565">(T4132-W4132)/T4132</f>
        <v>1</v>
      </c>
      <c r="Z4132" s="2" t="s">
        <v>170</v>
      </c>
      <c r="AA4132" s="2" t="s">
        <v>170</v>
      </c>
      <c r="AI4132" s="2"/>
      <c r="AK4132" s="2">
        <f t="shared" ref="AK4132" si="566">T4132-W4132</f>
        <v>5</v>
      </c>
      <c r="AL4132" s="5">
        <f t="shared" ref="AL4132" si="567"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188</v>
      </c>
      <c r="Q4133" s="2" t="s">
        <v>1311</v>
      </c>
      <c r="R4133" s="2" t="s">
        <v>1312</v>
      </c>
      <c r="S4133" s="9">
        <v>1</v>
      </c>
      <c r="T4133" s="10">
        <v>50.85</v>
      </c>
      <c r="U4133" s="2">
        <f>T4133*23%</f>
        <v>11.695500000000001</v>
      </c>
      <c r="V4133" s="2">
        <f>T4133+U4133</f>
        <v>62.545500000000004</v>
      </c>
      <c r="X4133" s="5">
        <f>(T4133-W4133)/T4133</f>
        <v>1</v>
      </c>
      <c r="Z4133" s="2" t="s">
        <v>118</v>
      </c>
      <c r="AA4133" s="2" t="s">
        <v>1313</v>
      </c>
      <c r="AI4133" s="2"/>
      <c r="AL4133" s="2"/>
    </row>
    <row r="4134" spans="1:38" hidden="1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1881</v>
      </c>
      <c r="R4134" s="2" t="s">
        <v>1882</v>
      </c>
      <c r="S4134" s="9">
        <v>1</v>
      </c>
      <c r="T4134" s="10">
        <v>219.45</v>
      </c>
      <c r="U4134" s="2">
        <f>T4134*23%</f>
        <v>50.473500000000001</v>
      </c>
      <c r="V4134" s="10">
        <f>T4134+U4134</f>
        <v>269.92349999999999</v>
      </c>
      <c r="X4134" s="5">
        <f t="shared" ref="X4134" si="568">(T4134-W4134)/T4134</f>
        <v>1</v>
      </c>
      <c r="AI4134" s="2"/>
      <c r="AK4134" s="2">
        <f t="shared" ref="AK4134" si="569">T4134-W4134</f>
        <v>219.45</v>
      </c>
      <c r="AL4134" s="5">
        <f t="shared" ref="AL4134" si="570">(T4134-W4134)/T4134</f>
        <v>1</v>
      </c>
    </row>
    <row r="4135" spans="1:38" hidden="1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ref="U4135:U4145" si="571">T4135*23%</f>
        <v>13.8</v>
      </c>
      <c r="V4135" s="2">
        <f t="shared" ref="V4135:V4145" si="572">T4135+U4135</f>
        <v>73.8</v>
      </c>
      <c r="W4135" s="2">
        <f>T4135*40%</f>
        <v>24</v>
      </c>
      <c r="X4135" s="5">
        <f t="shared" ref="X4135:X4140" si="573">(T4135-W4135)/T4135</f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hidden="1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571"/>
        <v>12.65</v>
      </c>
      <c r="V4136" s="2">
        <f t="shared" si="572"/>
        <v>67.650000000000006</v>
      </c>
      <c r="W4136" s="2">
        <f>T4136*50%</f>
        <v>27.5</v>
      </c>
      <c r="X4136" s="5">
        <f t="shared" si="573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hidden="1" x14ac:dyDescent="0.2">
      <c r="A4137" s="8">
        <v>2026</v>
      </c>
      <c r="B4137" s="8">
        <v>6</v>
      </c>
      <c r="C4137" s="8"/>
      <c r="D4137" s="2" t="s">
        <v>2584</v>
      </c>
      <c r="E4137" s="2" t="s">
        <v>184</v>
      </c>
      <c r="F4137" s="2" t="s">
        <v>2585</v>
      </c>
      <c r="G4137" s="2">
        <v>515259144</v>
      </c>
      <c r="H4137" s="2" t="s">
        <v>81</v>
      </c>
      <c r="I4137" s="2" t="s">
        <v>157</v>
      </c>
      <c r="J4137" s="2" t="s">
        <v>2586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2895</v>
      </c>
      <c r="R4137" s="2" t="s">
        <v>2896</v>
      </c>
      <c r="S4137" s="9">
        <v>1</v>
      </c>
      <c r="T4137" s="10">
        <v>223.1</v>
      </c>
      <c r="U4137" s="2">
        <f t="shared" si="571"/>
        <v>51.313000000000002</v>
      </c>
      <c r="V4137" s="2">
        <f t="shared" si="572"/>
        <v>274.41300000000001</v>
      </c>
      <c r="W4137" s="2">
        <v>141.18</v>
      </c>
      <c r="X4137" s="5">
        <f t="shared" si="573"/>
        <v>0.36718960107575072</v>
      </c>
      <c r="Z4137" s="2" t="s">
        <v>3233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hidden="1" x14ac:dyDescent="0.2">
      <c r="A4138" s="8">
        <v>2026</v>
      </c>
      <c r="B4138" s="8">
        <v>6</v>
      </c>
      <c r="C4138" s="8"/>
      <c r="D4138" s="2" t="s">
        <v>2584</v>
      </c>
      <c r="E4138" s="2" t="s">
        <v>184</v>
      </c>
      <c r="F4138" s="2" t="s">
        <v>2585</v>
      </c>
      <c r="G4138" s="2">
        <v>515259144</v>
      </c>
      <c r="H4138" s="2" t="s">
        <v>81</v>
      </c>
      <c r="I4138" s="2" t="s">
        <v>157</v>
      </c>
      <c r="J4138" s="2" t="s">
        <v>2586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571"/>
        <v>0.34040000000000004</v>
      </c>
      <c r="V4138" s="10">
        <f t="shared" si="572"/>
        <v>1.8204</v>
      </c>
      <c r="W4138" s="2">
        <f>1.48*S4138</f>
        <v>1.48</v>
      </c>
      <c r="X4138" s="5">
        <f t="shared" si="573"/>
        <v>0</v>
      </c>
      <c r="Z4138" s="2" t="s">
        <v>3233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hidden="1" x14ac:dyDescent="0.2">
      <c r="A4139" s="8">
        <v>2026</v>
      </c>
      <c r="B4139" s="8">
        <v>6</v>
      </c>
      <c r="C4139" s="8"/>
      <c r="D4139" s="2" t="s">
        <v>782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571"/>
        <v>4.1400000000000006</v>
      </c>
      <c r="V4139" s="10">
        <f t="shared" si="572"/>
        <v>22.14</v>
      </c>
      <c r="X4139" s="5">
        <f t="shared" si="573"/>
        <v>1</v>
      </c>
      <c r="Z4139" s="2" t="s">
        <v>3233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hidden="1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571"/>
        <v>4.83</v>
      </c>
      <c r="V4140" s="10">
        <f t="shared" si="572"/>
        <v>25.83</v>
      </c>
      <c r="W4140" s="2">
        <f>10.67*S4140</f>
        <v>10.67</v>
      </c>
      <c r="X4140" s="5">
        <f t="shared" si="573"/>
        <v>0.4919047619047619</v>
      </c>
      <c r="Z4140" s="2" t="s">
        <v>3233</v>
      </c>
      <c r="AA4140" s="2" t="s">
        <v>46</v>
      </c>
      <c r="AB4140" s="2" t="s">
        <v>47</v>
      </c>
      <c r="AC4140" s="2" t="s">
        <v>48</v>
      </c>
      <c r="AI4140" s="2"/>
      <c r="AK4140" s="2">
        <f t="shared" ref="AK4140" si="574">T4140-W4140</f>
        <v>10.33</v>
      </c>
      <c r="AL4140" s="5">
        <f t="shared" ref="AL4140" si="575">(T4140-W4140)/T4140</f>
        <v>0.4919047619047619</v>
      </c>
    </row>
    <row r="4141" spans="1:38" hidden="1" x14ac:dyDescent="0.2">
      <c r="A4141" s="8">
        <v>2026</v>
      </c>
      <c r="B4141" s="8">
        <v>6</v>
      </c>
      <c r="C4141" s="8"/>
      <c r="D4141" s="2" t="s">
        <v>2014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si="571"/>
        <v>52.900000000000006</v>
      </c>
      <c r="V4141" s="10">
        <f t="shared" si="572"/>
        <v>282.89999999999998</v>
      </c>
      <c r="W4141" s="2">
        <f>115.92+6.06</f>
        <v>121.98</v>
      </c>
      <c r="X4141" s="5">
        <f t="shared" ref="X4141:X4150" si="576">(T4141-W4141)/T4141</f>
        <v>0.46965217391304348</v>
      </c>
      <c r="Z4141" s="2" t="s">
        <v>3233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>T4141-W4141</f>
        <v>108.02</v>
      </c>
      <c r="AL4141" s="5">
        <f>(T4141-W4141)/T4141</f>
        <v>0.46965217391304348</v>
      </c>
    </row>
    <row r="4142" spans="1:38" hidden="1" x14ac:dyDescent="0.2">
      <c r="A4142" s="8">
        <v>2026</v>
      </c>
      <c r="B4142" s="8">
        <v>6</v>
      </c>
      <c r="C4142" s="8"/>
      <c r="D4142" s="2" t="s">
        <v>2014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571"/>
        <v>0.34040000000000004</v>
      </c>
      <c r="V4142" s="10">
        <f t="shared" si="572"/>
        <v>1.8204</v>
      </c>
      <c r="W4142" s="2">
        <f>1.48*S4142</f>
        <v>1.48</v>
      </c>
      <c r="X4142" s="5">
        <f t="shared" si="576"/>
        <v>0</v>
      </c>
      <c r="Z4142" s="2" t="s">
        <v>3233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>T4142-W4142</f>
        <v>0</v>
      </c>
      <c r="AL4142" s="5">
        <f>(T4142-W4142)/T4142</f>
        <v>0</v>
      </c>
    </row>
    <row r="4143" spans="1:38" hidden="1" x14ac:dyDescent="0.2">
      <c r="A4143" s="8">
        <v>2026</v>
      </c>
      <c r="B4143" s="8">
        <v>6</v>
      </c>
      <c r="C4143" s="8"/>
      <c r="D4143" s="2" t="s">
        <v>1011</v>
      </c>
      <c r="M4143" s="2" t="s">
        <v>81</v>
      </c>
      <c r="P4143" s="2" t="s">
        <v>73</v>
      </c>
      <c r="Q4143" s="2" t="s">
        <v>3062</v>
      </c>
      <c r="R4143" s="2" t="s">
        <v>208</v>
      </c>
      <c r="S4143" s="9">
        <v>1</v>
      </c>
      <c r="T4143" s="10">
        <v>400</v>
      </c>
      <c r="U4143" s="2">
        <f t="shared" si="571"/>
        <v>92</v>
      </c>
      <c r="V4143" s="10">
        <f t="shared" si="572"/>
        <v>492</v>
      </c>
      <c r="W4143" s="2">
        <f>271.66+19.93</f>
        <v>291.59000000000003</v>
      </c>
      <c r="X4143" s="5">
        <f t="shared" si="576"/>
        <v>0.2710249999999999</v>
      </c>
      <c r="Z4143" s="2" t="s">
        <v>3233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>T4143-W4143</f>
        <v>108.40999999999997</v>
      </c>
      <c r="AL4143" s="5">
        <f>(T4143-W4143)/T4143</f>
        <v>0.2710249999999999</v>
      </c>
    </row>
    <row r="4144" spans="1:38" hidden="1" x14ac:dyDescent="0.2">
      <c r="A4144" s="8">
        <v>2026</v>
      </c>
      <c r="B4144" s="8">
        <v>6</v>
      </c>
      <c r="C4144" s="8"/>
      <c r="D4144" s="2" t="s">
        <v>1011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571"/>
        <v>0.34040000000000004</v>
      </c>
      <c r="V4144" s="10">
        <f t="shared" si="572"/>
        <v>1.8204</v>
      </c>
      <c r="W4144" s="2">
        <f>1.48*S4144</f>
        <v>1.48</v>
      </c>
      <c r="X4144" s="5">
        <f t="shared" si="576"/>
        <v>0</v>
      </c>
      <c r="Z4144" s="2" t="s">
        <v>3233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>T4144-W4144</f>
        <v>0</v>
      </c>
      <c r="AL4144" s="5">
        <f>(T4144-W4144)/T4144</f>
        <v>0</v>
      </c>
    </row>
    <row r="4145" spans="1:38" hidden="1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571"/>
        <v>92</v>
      </c>
      <c r="V4145" s="10">
        <f t="shared" si="572"/>
        <v>492</v>
      </c>
      <c r="W4145" s="2">
        <v>290</v>
      </c>
      <c r="X4145" s="5">
        <f t="shared" si="576"/>
        <v>0.27500000000000002</v>
      </c>
      <c r="Z4145" s="2" t="s">
        <v>3233</v>
      </c>
      <c r="AA4145" s="2" t="s">
        <v>46</v>
      </c>
      <c r="AB4145" s="2" t="s">
        <v>61</v>
      </c>
      <c r="AC4145" s="2" t="s">
        <v>3339</v>
      </c>
      <c r="AI4145" s="2"/>
      <c r="AK4145" s="2">
        <f t="shared" ref="AK4145" si="577">T4145-W4145</f>
        <v>110</v>
      </c>
      <c r="AL4145" s="5">
        <f t="shared" ref="AL4145" si="578">(T4145-W4145)/T4145</f>
        <v>0.27500000000000002</v>
      </c>
    </row>
    <row r="4146" spans="1:38" hidden="1" x14ac:dyDescent="0.2">
      <c r="A4146" s="8">
        <v>2026</v>
      </c>
      <c r="B4146" s="8">
        <v>6</v>
      </c>
      <c r="C4146" s="8" t="s">
        <v>3301</v>
      </c>
      <c r="D4146" s="2" t="s">
        <v>3336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3175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ref="U4146:U4153" si="579">T4146*23%</f>
        <v>1285.7</v>
      </c>
      <c r="V4146" s="10">
        <f t="shared" ref="V4146:V4153" si="580">T4146+U4146</f>
        <v>6875.7</v>
      </c>
      <c r="W4146" s="2">
        <v>4275.9799999999996</v>
      </c>
      <c r="X4146" s="5">
        <f t="shared" si="576"/>
        <v>0.23506618962432924</v>
      </c>
      <c r="Z4146" s="2" t="s">
        <v>105</v>
      </c>
      <c r="AA4146" s="2" t="s">
        <v>617</v>
      </c>
      <c r="AB4146" s="2" t="s">
        <v>3179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>T4146-W4146</f>
        <v>1314.0200000000004</v>
      </c>
      <c r="AL4146" s="5">
        <f>(T4146-W4146)/T4146</f>
        <v>0.23506618962432924</v>
      </c>
    </row>
    <row r="4147" spans="1:38" hidden="1" x14ac:dyDescent="0.2">
      <c r="A4147" s="8">
        <v>2026</v>
      </c>
      <c r="B4147" s="8">
        <v>6</v>
      </c>
      <c r="C4147" s="8" t="s">
        <v>3301</v>
      </c>
      <c r="D4147" s="2" t="s">
        <v>3336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3175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579"/>
        <v>1021.2</v>
      </c>
      <c r="V4147" s="10">
        <f t="shared" si="580"/>
        <v>5461.2</v>
      </c>
      <c r="W4147" s="2">
        <v>3345.125</v>
      </c>
      <c r="X4147" s="5">
        <f t="shared" si="576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>T4147-W4147</f>
        <v>1094.875</v>
      </c>
      <c r="AL4147" s="5">
        <f>(T4147-W4147)/T4147</f>
        <v>0.24659346846846847</v>
      </c>
    </row>
    <row r="4148" spans="1:38" hidden="1" x14ac:dyDescent="0.2">
      <c r="A4148" s="8">
        <v>2026</v>
      </c>
      <c r="B4148" s="8">
        <v>6</v>
      </c>
      <c r="C4148" s="8" t="s">
        <v>3301</v>
      </c>
      <c r="D4148" s="2" t="s">
        <v>3336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3175</v>
      </c>
      <c r="P4148" s="2" t="s">
        <v>1613</v>
      </c>
      <c r="Q4148" s="2" t="s">
        <v>3063</v>
      </c>
      <c r="R4148" s="2" t="s">
        <v>3064</v>
      </c>
      <c r="S4148" s="9">
        <v>2</v>
      </c>
      <c r="T4148" s="10">
        <v>10000</v>
      </c>
      <c r="U4148" s="2">
        <f t="shared" si="579"/>
        <v>2300</v>
      </c>
      <c r="V4148" s="10">
        <f t="shared" si="580"/>
        <v>12300</v>
      </c>
      <c r="W4148" s="2">
        <f>3681.98*2</f>
        <v>7363.96</v>
      </c>
      <c r="X4148" s="5">
        <f t="shared" si="576"/>
        <v>0.263604</v>
      </c>
      <c r="Z4148" s="2" t="s">
        <v>105</v>
      </c>
      <c r="AA4148" s="2" t="s">
        <v>265</v>
      </c>
      <c r="AB4148" s="2" t="s">
        <v>1097</v>
      </c>
      <c r="AC4148" s="2" t="s">
        <v>1613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>T4148-W4148</f>
        <v>2636.04</v>
      </c>
      <c r="AL4148" s="5">
        <f>(T4148-W4148)/T4148</f>
        <v>0.263604</v>
      </c>
    </row>
    <row r="4149" spans="1:38" hidden="1" x14ac:dyDescent="0.2">
      <c r="A4149" s="8">
        <v>2026</v>
      </c>
      <c r="B4149" s="8">
        <v>6</v>
      </c>
      <c r="C4149" s="8" t="s">
        <v>3301</v>
      </c>
      <c r="D4149" s="2" t="s">
        <v>3336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3175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579"/>
        <v>602.6</v>
      </c>
      <c r="V4149" s="10">
        <f t="shared" si="580"/>
        <v>3222.6</v>
      </c>
      <c r="W4149" s="2">
        <v>1978.46</v>
      </c>
      <c r="X4149" s="5">
        <f t="shared" si="576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>T4149-W4149</f>
        <v>641.54</v>
      </c>
      <c r="AL4149" s="5">
        <f>(T4149-W4149)/T4149</f>
        <v>0.24486259541984731</v>
      </c>
    </row>
    <row r="4150" spans="1:38" hidden="1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1552</v>
      </c>
      <c r="R4150" s="2" t="s">
        <v>1553</v>
      </c>
      <c r="S4150" s="9">
        <v>1</v>
      </c>
      <c r="T4150" s="10">
        <v>499</v>
      </c>
      <c r="U4150" s="2">
        <f t="shared" si="579"/>
        <v>114.77000000000001</v>
      </c>
      <c r="V4150" s="10">
        <f t="shared" si="580"/>
        <v>613.77</v>
      </c>
      <c r="W4150" s="2">
        <v>297</v>
      </c>
      <c r="X4150" s="5">
        <f t="shared" si="576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ref="AK4150" si="581">T4150-W4150</f>
        <v>202</v>
      </c>
      <c r="AL4150" s="5">
        <f t="shared" ref="AL4150" si="582">(T4150-W4150)/T4150</f>
        <v>0.40480961923847697</v>
      </c>
    </row>
    <row r="4151" spans="1:38" hidden="1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579"/>
        <v>0</v>
      </c>
      <c r="V4151" s="10">
        <f t="shared" si="580"/>
        <v>0</v>
      </c>
      <c r="W4151" s="2">
        <f>14.5099*S4151</f>
        <v>29.0198</v>
      </c>
      <c r="X4151" s="18">
        <v>-1</v>
      </c>
      <c r="Z4151" s="2" t="s">
        <v>3233</v>
      </c>
      <c r="AA4151" s="2" t="s">
        <v>46</v>
      </c>
      <c r="AB4151" s="2" t="s">
        <v>61</v>
      </c>
      <c r="AC4151" s="2" t="s">
        <v>3339</v>
      </c>
      <c r="AI4151" s="2"/>
      <c r="AK4151" s="2">
        <f>T4151+(W4151)</f>
        <v>29.0198</v>
      </c>
      <c r="AL4151" s="18">
        <v>-1</v>
      </c>
    </row>
    <row r="4152" spans="1:38" hidden="1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579"/>
        <v>0</v>
      </c>
      <c r="V4152" s="10">
        <f t="shared" si="580"/>
        <v>0</v>
      </c>
      <c r="W4152" s="2">
        <f>14.5099*S4152</f>
        <v>29.0198</v>
      </c>
      <c r="X4152" s="19">
        <v>-1</v>
      </c>
      <c r="Z4152" s="2" t="s">
        <v>3233</v>
      </c>
      <c r="AA4152" s="2" t="s">
        <v>46</v>
      </c>
      <c r="AB4152" s="2" t="s">
        <v>61</v>
      </c>
      <c r="AC4152" s="2" t="s">
        <v>3339</v>
      </c>
      <c r="AI4152" s="2"/>
      <c r="AK4152" s="2">
        <f t="shared" ref="AK4152" si="583">T4152-W4152</f>
        <v>-29.0198</v>
      </c>
      <c r="AL4152" s="19">
        <v>-1</v>
      </c>
    </row>
    <row r="4153" spans="1:38" hidden="1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579"/>
        <v>8.2800000000000011</v>
      </c>
      <c r="V4153" s="10">
        <f t="shared" si="580"/>
        <v>44.28</v>
      </c>
      <c r="X4153" s="5">
        <f>(T4153-W4153)/T4153</f>
        <v>1</v>
      </c>
      <c r="Z4153" s="2" t="s">
        <v>3233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hidden="1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>T4154*23%</f>
        <v>1.84</v>
      </c>
      <c r="V4154" s="10">
        <f>T4154+U4154</f>
        <v>9.84</v>
      </c>
      <c r="X4154" s="5">
        <f t="shared" ref="X4154" si="584">(T4154-W4154)/T4154</f>
        <v>1</v>
      </c>
      <c r="Z4154" s="2" t="s">
        <v>170</v>
      </c>
      <c r="AA4154" s="2" t="s">
        <v>170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2544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>T4155*23%</f>
        <v>14.49</v>
      </c>
      <c r="V4155" s="10">
        <f>T4155+U4155</f>
        <v>77.489999999999995</v>
      </c>
      <c r="W4155" s="2">
        <f>10.67*S4155</f>
        <v>32.01</v>
      </c>
      <c r="X4155" s="5">
        <f>(T4155-W4155)/T4155</f>
        <v>0.49190476190476196</v>
      </c>
      <c r="Z4155" s="2" t="s">
        <v>3233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56" si="585">T4155-W4155</f>
        <v>30.990000000000002</v>
      </c>
      <c r="AL4155" s="5">
        <f t="shared" ref="AL4155:AL4156" si="586">(T4155-W4155)/T4155</f>
        <v>0.49190476190476196</v>
      </c>
    </row>
    <row r="4156" spans="1:38" hidden="1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2544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>T4156*23%</f>
        <v>6.21</v>
      </c>
      <c r="V4156" s="10">
        <f>T4156+U4156</f>
        <v>33.21</v>
      </c>
      <c r="W4156" s="2">
        <f>3.7358*S4156</f>
        <v>11.2074</v>
      </c>
      <c r="X4156" s="5">
        <f>(T4156-W4156)/T4156</f>
        <v>0.58491111111111116</v>
      </c>
      <c r="Z4156" s="2" t="s">
        <v>3233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585"/>
        <v>15.7926</v>
      </c>
      <c r="AL4156" s="5">
        <f t="shared" si="586"/>
        <v>0.58491111111111116</v>
      </c>
    </row>
    <row r="4157" spans="1:38" hidden="1" x14ac:dyDescent="0.2">
      <c r="A4157" s="8">
        <v>2026</v>
      </c>
      <c r="B4157" s="8">
        <v>6</v>
      </c>
      <c r="C4157" s="8"/>
      <c r="D4157" s="2" t="s">
        <v>1376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>T4157*23%</f>
        <v>9.6508000000000003</v>
      </c>
      <c r="V4157" s="10">
        <f>T4157+U4157</f>
        <v>51.610799999999998</v>
      </c>
      <c r="W4157" s="2">
        <f>23.042*S4157</f>
        <v>23.042000000000002</v>
      </c>
      <c r="X4157" s="5">
        <f t="shared" ref="X4157" si="587">(T4157-W4157)/T4157</f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ref="AK4157" si="588">T4157-W4157</f>
        <v>18.917999999999999</v>
      </c>
      <c r="AL4157" s="5">
        <f t="shared" ref="AL4157" si="589">(T4157-W4157)/T4157</f>
        <v>0.45085795996186839</v>
      </c>
    </row>
    <row r="4158" spans="1:38" hidden="1" x14ac:dyDescent="0.2">
      <c r="A4158" s="8">
        <v>2026</v>
      </c>
      <c r="B4158" s="8">
        <v>6</v>
      </c>
      <c r="C4158" s="8"/>
      <c r="D4158" s="2" t="s">
        <v>1558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ref="U4158:U4159" si="590">T4158*23%</f>
        <v>92</v>
      </c>
      <c r="V4158" s="10">
        <f t="shared" ref="V4158:V4159" si="591">T4158+U4158</f>
        <v>492</v>
      </c>
      <c r="W4158" s="2">
        <f t="shared" ref="W4158:W4159" si="592">14.5099*S4158</f>
        <v>290.19799999999998</v>
      </c>
      <c r="X4158" s="5">
        <f t="shared" ref="X4158:X4159" si="593">(T4158-W4158)/T4158</f>
        <v>0.27450500000000005</v>
      </c>
      <c r="Z4158" s="2" t="s">
        <v>3233</v>
      </c>
      <c r="AA4158" s="2" t="s">
        <v>46</v>
      </c>
      <c r="AB4158" s="2" t="s">
        <v>61</v>
      </c>
      <c r="AC4158" s="2" t="s">
        <v>3339</v>
      </c>
      <c r="AI4158" s="2"/>
      <c r="AK4158" s="2">
        <f t="shared" ref="AK4158:AK4159" si="594">T4158-W4158</f>
        <v>109.80200000000002</v>
      </c>
      <c r="AL4158" s="5">
        <f t="shared" ref="AL4158:AL4159" si="595">(T4158-W4158)/T4158</f>
        <v>0.27450500000000005</v>
      </c>
    </row>
    <row r="4159" spans="1:38" hidden="1" x14ac:dyDescent="0.2">
      <c r="A4159" s="8">
        <v>2026</v>
      </c>
      <c r="B4159" s="8">
        <v>6</v>
      </c>
      <c r="C4159" s="8"/>
      <c r="D4159" s="2" t="s">
        <v>1558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590"/>
        <v>92</v>
      </c>
      <c r="V4159" s="10">
        <f t="shared" si="591"/>
        <v>492</v>
      </c>
      <c r="W4159" s="2">
        <f t="shared" si="592"/>
        <v>290.19799999999998</v>
      </c>
      <c r="X4159" s="5">
        <f t="shared" si="593"/>
        <v>0.27450500000000005</v>
      </c>
      <c r="Z4159" s="2" t="s">
        <v>3233</v>
      </c>
      <c r="AA4159" s="2" t="s">
        <v>46</v>
      </c>
      <c r="AB4159" s="2" t="s">
        <v>61</v>
      </c>
      <c r="AC4159" s="2" t="s">
        <v>3339</v>
      </c>
      <c r="AI4159" s="2"/>
      <c r="AK4159" s="2">
        <f t="shared" si="594"/>
        <v>109.80200000000002</v>
      </c>
      <c r="AL4159" s="5">
        <f t="shared" si="595"/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1379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3201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ref="U4160:U4165" si="596">T4160*23%</f>
        <v>46</v>
      </c>
      <c r="V4160" s="10">
        <f t="shared" ref="V4160:V4165" si="597">T4160+U4160</f>
        <v>246</v>
      </c>
      <c r="W4160" s="2">
        <f>110.125+11.77</f>
        <v>121.895</v>
      </c>
      <c r="X4160" s="5">
        <f t="shared" ref="X4160:X4166" si="598">(T4160-W4160)/T4160</f>
        <v>0.39052500000000001</v>
      </c>
      <c r="Z4160" s="2" t="s">
        <v>3233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599">AI4160*T4160</f>
        <v>0</v>
      </c>
      <c r="AK4160" s="2">
        <f t="shared" ref="AK4160:AK4166" si="600">T4160-W4160</f>
        <v>78.105000000000004</v>
      </c>
      <c r="AL4160" s="5">
        <f t="shared" ref="AL4160:AL4166" si="601">(T4160-W4160)/T4160</f>
        <v>0.39052500000000001</v>
      </c>
    </row>
    <row r="4161" spans="1:38" hidden="1" x14ac:dyDescent="0.2">
      <c r="A4161" s="8">
        <v>2026</v>
      </c>
      <c r="B4161" s="8">
        <v>6</v>
      </c>
      <c r="C4161" s="8"/>
      <c r="D4161" s="2" t="s">
        <v>1379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596"/>
        <v>0.34040000000000004</v>
      </c>
      <c r="V4161" s="10">
        <f t="shared" si="597"/>
        <v>1.8204</v>
      </c>
      <c r="W4161" s="2">
        <f>1.48*S4161</f>
        <v>1.48</v>
      </c>
      <c r="X4161" s="5">
        <f t="shared" si="598"/>
        <v>0</v>
      </c>
      <c r="Z4161" s="2" t="s">
        <v>3233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599"/>
        <v>0</v>
      </c>
      <c r="AK4161" s="2">
        <f t="shared" si="600"/>
        <v>0</v>
      </c>
      <c r="AL4161" s="5">
        <f t="shared" si="601"/>
        <v>0</v>
      </c>
    </row>
    <row r="4162" spans="1:38" hidden="1" x14ac:dyDescent="0.2">
      <c r="A4162" s="8">
        <v>2026</v>
      </c>
      <c r="B4162" s="8">
        <v>6</v>
      </c>
      <c r="C4162" s="8"/>
      <c r="D4162" s="2" t="s">
        <v>3108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596"/>
        <v>31.51</v>
      </c>
      <c r="V4162" s="2">
        <f t="shared" si="597"/>
        <v>168.51</v>
      </c>
      <c r="W4162" s="2">
        <f>T4162*40%</f>
        <v>54.800000000000004</v>
      </c>
      <c r="X4162" s="5">
        <f t="shared" si="598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599"/>
        <v>0</v>
      </c>
      <c r="AK4162" s="2">
        <f t="shared" si="600"/>
        <v>82.199999999999989</v>
      </c>
      <c r="AL4162" s="5">
        <f t="shared" si="601"/>
        <v>0.59999999999999987</v>
      </c>
    </row>
    <row r="4163" spans="1:38" hidden="1" x14ac:dyDescent="0.2">
      <c r="A4163" s="8">
        <v>2026</v>
      </c>
      <c r="B4163" s="8">
        <v>6</v>
      </c>
      <c r="C4163" s="8"/>
      <c r="D4163" s="2" t="s">
        <v>3108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596"/>
        <v>18.975000000000001</v>
      </c>
      <c r="V4163" s="2">
        <f t="shared" si="597"/>
        <v>101.47499999999999</v>
      </c>
      <c r="W4163" s="2">
        <f>T4163*50%</f>
        <v>41.25</v>
      </c>
      <c r="X4163" s="5">
        <f t="shared" si="598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599"/>
        <v>0</v>
      </c>
      <c r="AK4163" s="2">
        <f t="shared" si="600"/>
        <v>41.25</v>
      </c>
      <c r="AL4163" s="5">
        <f t="shared" si="601"/>
        <v>0.5</v>
      </c>
    </row>
    <row r="4164" spans="1:38" hidden="1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596"/>
        <v>62.1</v>
      </c>
      <c r="V4164" s="10">
        <f t="shared" si="597"/>
        <v>332.1</v>
      </c>
      <c r="W4164" s="2">
        <v>139.46</v>
      </c>
      <c r="X4164" s="5">
        <f t="shared" si="598"/>
        <v>0.48348148148148146</v>
      </c>
      <c r="Z4164" s="2" t="s">
        <v>3233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599"/>
        <v>0</v>
      </c>
      <c r="AK4164" s="2">
        <f t="shared" si="600"/>
        <v>130.54</v>
      </c>
      <c r="AL4164" s="5">
        <f t="shared" si="601"/>
        <v>0.48348148148148146</v>
      </c>
    </row>
    <row r="4165" spans="1:38" hidden="1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596"/>
        <v>0.34040000000000004</v>
      </c>
      <c r="V4165" s="10">
        <f t="shared" si="597"/>
        <v>1.8204</v>
      </c>
      <c r="W4165" s="2">
        <f>1.48*S4165</f>
        <v>1.48</v>
      </c>
      <c r="X4165" s="5">
        <f t="shared" si="598"/>
        <v>0</v>
      </c>
      <c r="Z4165" s="2" t="s">
        <v>3233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599"/>
        <v>0</v>
      </c>
      <c r="AK4165" s="2">
        <f t="shared" si="600"/>
        <v>0</v>
      </c>
      <c r="AL4165" s="5">
        <f t="shared" si="601"/>
        <v>0</v>
      </c>
    </row>
    <row r="4166" spans="1:38" hidden="1" x14ac:dyDescent="0.2">
      <c r="A4166" s="8">
        <v>2026</v>
      </c>
      <c r="B4166" s="8">
        <v>6</v>
      </c>
      <c r="C4166" s="8"/>
      <c r="D4166" s="2" t="s">
        <v>452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>T4166*23%</f>
        <v>30.985600000000002</v>
      </c>
      <c r="V4166" s="10">
        <f>T4166+U4166</f>
        <v>165.7056</v>
      </c>
      <c r="X4166" s="5">
        <f t="shared" si="598"/>
        <v>1</v>
      </c>
      <c r="AI4166" s="2"/>
      <c r="AK4166" s="2">
        <f t="shared" si="600"/>
        <v>134.72</v>
      </c>
      <c r="AL4166" s="5">
        <f t="shared" si="601"/>
        <v>1</v>
      </c>
    </row>
    <row r="4167" spans="1:38" hidden="1" x14ac:dyDescent="0.2">
      <c r="A4167" s="8">
        <v>2026</v>
      </c>
      <c r="B4167" s="8">
        <v>6</v>
      </c>
      <c r="C4167" s="8"/>
      <c r="D4167" s="2" t="s">
        <v>452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>T4167*23%</f>
        <v>138.345</v>
      </c>
      <c r="V4167" s="2">
        <f>T4167+U4167</f>
        <v>739.84500000000003</v>
      </c>
      <c r="W4167" s="2">
        <f>T4167*40%</f>
        <v>240.60000000000002</v>
      </c>
      <c r="X4167" s="5">
        <f>(T4167-W4167)/T4167</f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>T4167-W4167</f>
        <v>360.9</v>
      </c>
      <c r="AL4167" s="5">
        <f>(T4167-W4167)/T4167</f>
        <v>0.6</v>
      </c>
    </row>
    <row r="4168" spans="1:38" hidden="1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>T4168*23%</f>
        <v>85.387500000000003</v>
      </c>
      <c r="V4168" s="2">
        <f>T4168+U4168</f>
        <v>456.63749999999999</v>
      </c>
      <c r="W4168" s="2">
        <f>T4168*50%</f>
        <v>185.625</v>
      </c>
      <c r="X4168" s="5">
        <f>(T4168-W4168)/T4168</f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>T4168-W4168</f>
        <v>185.625</v>
      </c>
      <c r="AL4168" s="5">
        <f>(T4168-W4168)/T4168</f>
        <v>0.5</v>
      </c>
    </row>
    <row r="4169" spans="1:38" hidden="1" x14ac:dyDescent="0.2">
      <c r="A4169" s="8">
        <v>2026</v>
      </c>
      <c r="B4169" s="8">
        <v>6</v>
      </c>
      <c r="C4169" s="8"/>
      <c r="D4169" s="2" t="s">
        <v>452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>T4169*23%</f>
        <v>6.21</v>
      </c>
      <c r="V4169" s="10">
        <f>T4169+U4169</f>
        <v>33.21</v>
      </c>
      <c r="X4169" s="5">
        <f t="shared" ref="X4169" si="602">(T4169-W4169)/T4169</f>
        <v>1</v>
      </c>
      <c r="Z4169" s="2" t="s">
        <v>120</v>
      </c>
      <c r="AA4169" s="2" t="s">
        <v>3388</v>
      </c>
      <c r="AI4169" s="2"/>
      <c r="AK4169" s="2">
        <f t="shared" ref="AK4169" si="603">T4169-W4169</f>
        <v>27</v>
      </c>
      <c r="AL4169" s="5">
        <f t="shared" ref="AL4169" si="604">(T4169-W4169)/T4169</f>
        <v>1</v>
      </c>
    </row>
    <row r="4170" spans="1:38" hidden="1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>T4170*23%</f>
        <v>44.160000000000004</v>
      </c>
      <c r="V4170" s="10">
        <f t="shared" ref="V4170:V4175" si="605">T4170+U4170</f>
        <v>236.16</v>
      </c>
      <c r="W4170" s="2">
        <f>14.5099*S4170</f>
        <v>116.0792</v>
      </c>
      <c r="X4170" s="5">
        <f t="shared" ref="X4170" si="606">(T4170-W4170)/T4170</f>
        <v>0.39542083333333333</v>
      </c>
      <c r="Z4170" s="2" t="s">
        <v>3233</v>
      </c>
      <c r="AA4170" s="2" t="s">
        <v>46</v>
      </c>
      <c r="AB4170" s="2" t="s">
        <v>61</v>
      </c>
      <c r="AC4170" s="2" t="s">
        <v>3339</v>
      </c>
      <c r="AI4170" s="2"/>
      <c r="AK4170" s="2">
        <f t="shared" ref="AK4170:AK4171" si="607">T4170-W4170</f>
        <v>75.9208</v>
      </c>
      <c r="AL4170" s="5">
        <f t="shared" ref="AL4170:AL4171" si="608">(T4170-W4170)/T4170</f>
        <v>0.39542083333333333</v>
      </c>
    </row>
    <row r="4171" spans="1:38" hidden="1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>T4171*23%</f>
        <v>16.100000000000001</v>
      </c>
      <c r="V4171" s="10">
        <f t="shared" si="605"/>
        <v>86.1</v>
      </c>
      <c r="W4171" s="2">
        <f>0.0914*S4171</f>
        <v>45.699999999999996</v>
      </c>
      <c r="X4171" s="5">
        <f>(T4171-W4171)/T4171</f>
        <v>0.3471428571428572</v>
      </c>
      <c r="Z4171" s="2" t="s">
        <v>3233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07"/>
        <v>24.300000000000004</v>
      </c>
      <c r="AL4171" s="5">
        <f t="shared" si="608"/>
        <v>0.3471428571428572</v>
      </c>
    </row>
    <row r="4172" spans="1:38" hidden="1" x14ac:dyDescent="0.2">
      <c r="A4172" s="8">
        <v>2026</v>
      </c>
      <c r="B4172" s="8">
        <v>6</v>
      </c>
      <c r="C4172" s="8"/>
      <c r="D4172" s="2" t="s">
        <v>2149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>T4172*23%</f>
        <v>46</v>
      </c>
      <c r="V4172" s="10">
        <f t="shared" si="605"/>
        <v>246</v>
      </c>
      <c r="W4172" s="2">
        <v>120.636</v>
      </c>
      <c r="X4172" s="5">
        <f>(T4172-W4172)/T4172</f>
        <v>0.39682000000000001</v>
      </c>
      <c r="Z4172" s="2" t="s">
        <v>3233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>T4172-W4172</f>
        <v>79.364000000000004</v>
      </c>
      <c r="AL4172" s="5">
        <f>(T4172-W4172)/T4172</f>
        <v>0.39682000000000001</v>
      </c>
    </row>
    <row r="4173" spans="1:38" hidden="1" x14ac:dyDescent="0.2">
      <c r="A4173" s="8">
        <v>2026</v>
      </c>
      <c r="B4173" s="8">
        <v>6</v>
      </c>
      <c r="C4173" s="8"/>
      <c r="D4173" s="2" t="s">
        <v>2149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>T4173*23%</f>
        <v>6.9</v>
      </c>
      <c r="V4173" s="10">
        <f t="shared" si="605"/>
        <v>36.9</v>
      </c>
      <c r="W4173" s="2">
        <v>28</v>
      </c>
      <c r="X4173" s="5">
        <f t="shared" ref="X4173" si="609">(T4173-W4173)/T4173</f>
        <v>6.6666666666666666E-2</v>
      </c>
      <c r="Z4173" s="2" t="s">
        <v>170</v>
      </c>
      <c r="AA4173" s="2" t="s">
        <v>170</v>
      </c>
      <c r="AI4173" s="2"/>
      <c r="AL4173" s="2"/>
    </row>
    <row r="4174" spans="1:38" hidden="1" x14ac:dyDescent="0.2">
      <c r="A4174" s="8">
        <v>2026</v>
      </c>
      <c r="B4174" s="8">
        <v>6</v>
      </c>
      <c r="C4174" s="8"/>
      <c r="D4174" s="2" t="s">
        <v>2149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ref="U4174:U4180" si="610">T4174*23%</f>
        <v>0.34040000000000004</v>
      </c>
      <c r="V4174" s="10">
        <f t="shared" si="605"/>
        <v>1.8204</v>
      </c>
      <c r="W4174" s="2">
        <f>1.48*S4174</f>
        <v>1.48</v>
      </c>
      <c r="X4174" s="5">
        <f>(T4174-W4174)/T4174</f>
        <v>0</v>
      </c>
      <c r="Z4174" s="2" t="s">
        <v>3233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>T4174-W4174</f>
        <v>0</v>
      </c>
      <c r="AL4174" s="5">
        <f>(T4174-W4174)/T4174</f>
        <v>0</v>
      </c>
    </row>
    <row r="4175" spans="1:38" hidden="1" x14ac:dyDescent="0.2">
      <c r="A4175" s="8">
        <v>2026</v>
      </c>
      <c r="B4175" s="8">
        <v>6</v>
      </c>
      <c r="C4175" s="8"/>
      <c r="D4175" s="2" t="s">
        <v>470</v>
      </c>
      <c r="E4175" s="2" t="s">
        <v>38</v>
      </c>
      <c r="F4175" s="2" t="s">
        <v>471</v>
      </c>
      <c r="G4175" s="2">
        <v>513626930</v>
      </c>
      <c r="H4175" s="2" t="s">
        <v>40</v>
      </c>
      <c r="I4175" s="2" t="s">
        <v>340</v>
      </c>
      <c r="J4175" s="2" t="s">
        <v>472</v>
      </c>
      <c r="L4175" s="2" t="s">
        <v>340</v>
      </c>
      <c r="M4175" s="2" t="s">
        <v>40</v>
      </c>
      <c r="O4175" s="2" t="s">
        <v>3234</v>
      </c>
      <c r="Q4175" s="2" t="s">
        <v>2981</v>
      </c>
      <c r="R4175" s="2" t="s">
        <v>2982</v>
      </c>
      <c r="S4175" s="9">
        <v>-1</v>
      </c>
      <c r="T4175" s="10">
        <v>-2460</v>
      </c>
      <c r="U4175" s="2">
        <f t="shared" si="610"/>
        <v>-565.80000000000007</v>
      </c>
      <c r="V4175" s="10">
        <f t="shared" si="605"/>
        <v>-3025.8</v>
      </c>
      <c r="X4175" s="2"/>
      <c r="Z4175" s="2" t="s">
        <v>105</v>
      </c>
      <c r="AI4175" s="2"/>
    </row>
    <row r="4176" spans="1:38" hidden="1" x14ac:dyDescent="0.2">
      <c r="A4176" s="8">
        <v>2026</v>
      </c>
      <c r="B4176" s="8">
        <v>6</v>
      </c>
      <c r="C4176" s="8" t="s">
        <v>3301</v>
      </c>
      <c r="D4176" s="2" t="s">
        <v>3406</v>
      </c>
      <c r="E4176" s="2" t="s">
        <v>753</v>
      </c>
      <c r="F4176" s="2" t="s">
        <v>39</v>
      </c>
      <c r="L4176" s="2" t="s">
        <v>134</v>
      </c>
      <c r="M4176" s="2" t="s">
        <v>110</v>
      </c>
      <c r="O4176" s="2" t="s">
        <v>3236</v>
      </c>
      <c r="P4176" s="2" t="s">
        <v>1196</v>
      </c>
      <c r="Q4176" s="2" t="s">
        <v>3065</v>
      </c>
      <c r="R4176" s="2" t="s">
        <v>3066</v>
      </c>
      <c r="S4176" s="9">
        <v>1</v>
      </c>
      <c r="T4176" s="10">
        <v>5990</v>
      </c>
      <c r="U4176" s="2">
        <f t="shared" si="610"/>
        <v>1377.7</v>
      </c>
      <c r="V4176" s="10">
        <f>U4176+T4176</f>
        <v>7367.7</v>
      </c>
      <c r="W4176" s="2">
        <v>4214</v>
      </c>
      <c r="X4176" s="5">
        <f t="shared" ref="X4176" si="611">(T4176-W4176)/T4176</f>
        <v>0.29649415692821368</v>
      </c>
      <c r="Z4176" s="2" t="s">
        <v>105</v>
      </c>
      <c r="AA4176" s="2" t="s">
        <v>2752</v>
      </c>
      <c r="AB4176" s="2" t="s">
        <v>3405</v>
      </c>
      <c r="AC4176" s="2" t="s">
        <v>1196</v>
      </c>
      <c r="AI4176" s="2"/>
      <c r="AK4176" s="2">
        <f>T4176-W4176</f>
        <v>1776</v>
      </c>
      <c r="AL4176" s="5">
        <f>(T4176-W4176)/T4176</f>
        <v>0.29649415692821368</v>
      </c>
    </row>
    <row r="4177" spans="1:38" hidden="1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189</v>
      </c>
      <c r="R4177" s="2" t="s">
        <v>190</v>
      </c>
      <c r="S4177" s="9">
        <v>1</v>
      </c>
      <c r="T4177" s="10">
        <v>60</v>
      </c>
      <c r="U4177" s="2">
        <f t="shared" si="610"/>
        <v>13.8</v>
      </c>
      <c r="V4177" s="2">
        <f>T4177+U4177</f>
        <v>73.8</v>
      </c>
      <c r="W4177" s="2">
        <f>T4177*40%</f>
        <v>24</v>
      </c>
      <c r="X4177" s="5">
        <f>(T4177-W4177)/T4177</f>
        <v>0.6</v>
      </c>
      <c r="Z4177" s="2" t="s">
        <v>118</v>
      </c>
      <c r="AA4177" s="2" t="s">
        <v>191</v>
      </c>
      <c r="AB4177" s="2" t="s">
        <v>190</v>
      </c>
      <c r="AC4177" s="2" t="s">
        <v>40</v>
      </c>
      <c r="AG4177" s="2">
        <f>W4177</f>
        <v>24</v>
      </c>
      <c r="AI4177" s="2"/>
      <c r="AJ4177" s="2">
        <f>AI4177*T4177</f>
        <v>0</v>
      </c>
      <c r="AK4177" s="2">
        <f>T4177-W4177</f>
        <v>36</v>
      </c>
      <c r="AL4177" s="5">
        <f>(T4177-W4177)/T4177</f>
        <v>0.6</v>
      </c>
    </row>
    <row r="4178" spans="1:38" hidden="1" x14ac:dyDescent="0.2">
      <c r="A4178" s="8">
        <v>2026</v>
      </c>
      <c r="B4178" s="8">
        <v>6</v>
      </c>
      <c r="C4178" s="8"/>
      <c r="D4178" s="2" t="s">
        <v>841</v>
      </c>
      <c r="E4178" s="2" t="s">
        <v>109</v>
      </c>
      <c r="F4178" s="2" t="s">
        <v>842</v>
      </c>
      <c r="G4178" s="2">
        <v>504981285</v>
      </c>
      <c r="H4178" s="2" t="s">
        <v>291</v>
      </c>
      <c r="I4178" s="2" t="s">
        <v>843</v>
      </c>
      <c r="J4178" s="2" t="s">
        <v>844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192</v>
      </c>
      <c r="R4178" s="2" t="s">
        <v>191</v>
      </c>
      <c r="S4178" s="9">
        <v>2</v>
      </c>
      <c r="T4178" s="10">
        <v>110</v>
      </c>
      <c r="U4178" s="2">
        <f t="shared" si="610"/>
        <v>25.3</v>
      </c>
      <c r="V4178" s="2">
        <f>T4178+U4178</f>
        <v>135.30000000000001</v>
      </c>
      <c r="W4178" s="2">
        <f>T4178*50%</f>
        <v>55</v>
      </c>
      <c r="X4178" s="5">
        <f>(T4178-W4178)/T4178</f>
        <v>0.5</v>
      </c>
      <c r="Z4178" s="2" t="s">
        <v>118</v>
      </c>
      <c r="AA4178" s="2" t="s">
        <v>191</v>
      </c>
      <c r="AB4178" s="2" t="s">
        <v>191</v>
      </c>
      <c r="AC4178" s="2" t="s">
        <v>40</v>
      </c>
      <c r="AF4178" s="2">
        <f>AJ4178</f>
        <v>0</v>
      </c>
      <c r="AG4178" s="2">
        <f>W4178</f>
        <v>55</v>
      </c>
      <c r="AI4178" s="2"/>
      <c r="AJ4178" s="2">
        <f>AI4178*T4178</f>
        <v>0</v>
      </c>
      <c r="AK4178" s="2">
        <f>T4178-W4178</f>
        <v>55</v>
      </c>
      <c r="AL4178" s="5">
        <f>(T4178-W4178)/T4178</f>
        <v>0.5</v>
      </c>
    </row>
    <row r="4179" spans="1:38" hidden="1" x14ac:dyDescent="0.2">
      <c r="A4179" s="8">
        <v>2026</v>
      </c>
      <c r="B4179" s="8">
        <v>6</v>
      </c>
      <c r="C4179" s="8"/>
      <c r="D4179" s="2" t="s">
        <v>3118</v>
      </c>
      <c r="M4179" s="2" t="s">
        <v>40</v>
      </c>
      <c r="P4179" s="2" t="s">
        <v>188</v>
      </c>
      <c r="Q4179" s="2" t="s">
        <v>189</v>
      </c>
      <c r="R4179" s="2" t="s">
        <v>190</v>
      </c>
      <c r="S4179" s="9">
        <v>2</v>
      </c>
      <c r="T4179" s="10">
        <v>92</v>
      </c>
      <c r="U4179" s="2">
        <f t="shared" si="610"/>
        <v>21.16</v>
      </c>
      <c r="V4179" s="2">
        <f>T4179+U4179</f>
        <v>113.16</v>
      </c>
      <c r="W4179" s="2">
        <f>T4179*40%</f>
        <v>36.800000000000004</v>
      </c>
      <c r="X4179" s="5">
        <f>(T4179-W4179)/T4179</f>
        <v>0.6</v>
      </c>
      <c r="Z4179" s="2" t="s">
        <v>118</v>
      </c>
      <c r="AA4179" s="2" t="s">
        <v>191</v>
      </c>
      <c r="AB4179" s="2" t="s">
        <v>190</v>
      </c>
      <c r="AC4179" s="2" t="s">
        <v>40</v>
      </c>
      <c r="AG4179" s="2">
        <f>W4179</f>
        <v>36.800000000000004</v>
      </c>
      <c r="AI4179" s="2"/>
      <c r="AJ4179" s="2">
        <f>AI4179*T4179</f>
        <v>0</v>
      </c>
      <c r="AK4179" s="2">
        <f>T4179-W4179</f>
        <v>55.199999999999996</v>
      </c>
      <c r="AL4179" s="5">
        <f>(T4179-W4179)/T4179</f>
        <v>0.6</v>
      </c>
    </row>
    <row r="4180" spans="1:38" hidden="1" x14ac:dyDescent="0.2">
      <c r="A4180" s="8">
        <v>2026</v>
      </c>
      <c r="B4180" s="8">
        <v>6</v>
      </c>
      <c r="C4180" s="8"/>
      <c r="D4180" s="2" t="s">
        <v>3118</v>
      </c>
      <c r="M4180" s="2" t="s">
        <v>40</v>
      </c>
      <c r="P4180" s="2" t="s">
        <v>188</v>
      </c>
      <c r="Q4180" s="2" t="s">
        <v>192</v>
      </c>
      <c r="R4180" s="2" t="s">
        <v>191</v>
      </c>
      <c r="S4180" s="9">
        <v>2</v>
      </c>
      <c r="T4180" s="10">
        <v>55</v>
      </c>
      <c r="U4180" s="2">
        <f t="shared" si="610"/>
        <v>12.65</v>
      </c>
      <c r="V4180" s="2">
        <f>T4180+U4180</f>
        <v>67.650000000000006</v>
      </c>
      <c r="W4180" s="2">
        <f>T4180*50%</f>
        <v>27.5</v>
      </c>
      <c r="X4180" s="5">
        <f>(T4180-W4180)/T4180</f>
        <v>0.5</v>
      </c>
      <c r="Z4180" s="2" t="s">
        <v>118</v>
      </c>
      <c r="AA4180" s="2" t="s">
        <v>191</v>
      </c>
      <c r="AB4180" s="2" t="s">
        <v>191</v>
      </c>
      <c r="AC4180" s="2" t="s">
        <v>40</v>
      </c>
      <c r="AF4180" s="2">
        <f>AJ4180</f>
        <v>0</v>
      </c>
      <c r="AG4180" s="2">
        <f>W4180</f>
        <v>27.5</v>
      </c>
      <c r="AI4180" s="2"/>
      <c r="AJ4180" s="2">
        <f>AI4180*T4180</f>
        <v>0</v>
      </c>
      <c r="AK4180" s="2">
        <f>T4180-W4180</f>
        <v>27.5</v>
      </c>
      <c r="AL4180" s="5">
        <f>(T4180-W4180)/T4180</f>
        <v>0.5</v>
      </c>
    </row>
    <row r="4181" spans="1:38" hidden="1" x14ac:dyDescent="0.2">
      <c r="A4181" s="8">
        <v>2026</v>
      </c>
      <c r="B4181" s="8">
        <v>6</v>
      </c>
      <c r="C4181" s="8"/>
      <c r="D4181" s="2" t="s">
        <v>3118</v>
      </c>
      <c r="P4181" s="2" t="s">
        <v>40</v>
      </c>
      <c r="Q4181" s="2" t="s">
        <v>364</v>
      </c>
      <c r="R4181" s="2" t="s">
        <v>365</v>
      </c>
      <c r="S4181" s="9">
        <v>1</v>
      </c>
      <c r="T4181" s="10">
        <v>99.93</v>
      </c>
      <c r="U4181" s="2">
        <f>T4181*23%</f>
        <v>22.983900000000002</v>
      </c>
      <c r="V4181" s="10">
        <f>T4181+U4181</f>
        <v>122.91390000000001</v>
      </c>
      <c r="X4181" s="5">
        <f t="shared" ref="X4181" si="612">(T4181-W4181)/T4181</f>
        <v>1</v>
      </c>
      <c r="AI4181" s="2"/>
      <c r="AK4181" s="2">
        <f t="shared" ref="AK4181" si="613">T4181-W4181</f>
        <v>99.93</v>
      </c>
      <c r="AL4181" s="5">
        <f t="shared" ref="AL4181" si="614">(T4181-W4181)/T4181</f>
        <v>1</v>
      </c>
    </row>
    <row r="4182" spans="1:38" hidden="1" x14ac:dyDescent="0.2">
      <c r="A4182" s="8">
        <v>2026</v>
      </c>
      <c r="B4182" s="8">
        <v>6</v>
      </c>
      <c r="C4182" s="8"/>
      <c r="D4182" s="2" t="s">
        <v>1913</v>
      </c>
      <c r="P4182" s="2" t="s">
        <v>283</v>
      </c>
      <c r="Q4182" s="2" t="s">
        <v>400</v>
      </c>
      <c r="R4182" s="2" t="s">
        <v>401</v>
      </c>
      <c r="S4182" s="9">
        <v>4</v>
      </c>
      <c r="T4182" s="10">
        <v>100</v>
      </c>
      <c r="U4182" s="2">
        <f t="shared" ref="U4182:U4183" si="615">T4182*23%</f>
        <v>23</v>
      </c>
      <c r="V4182" s="10">
        <f t="shared" ref="V4182:V4183" si="616">T4182+U4182</f>
        <v>123</v>
      </c>
      <c r="W4182" s="2">
        <f t="shared" ref="W4182:W4183" si="617">14.5099*S4182</f>
        <v>58.0396</v>
      </c>
      <c r="X4182" s="5">
        <f t="shared" ref="X4182:X4184" si="618">(T4182-W4182)/T4182</f>
        <v>0.41960399999999998</v>
      </c>
      <c r="Z4182" s="2" t="s">
        <v>3233</v>
      </c>
      <c r="AA4182" s="2" t="s">
        <v>46</v>
      </c>
      <c r="AB4182" s="2" t="s">
        <v>61</v>
      </c>
      <c r="AC4182" s="2" t="s">
        <v>3339</v>
      </c>
      <c r="AI4182" s="2"/>
      <c r="AK4182" s="2">
        <f t="shared" ref="AK4182:AK4184" si="619">T4182-W4182</f>
        <v>41.9604</v>
      </c>
      <c r="AL4182" s="5">
        <f t="shared" ref="AL4182:AL4184" si="620">(T4182-W4182)/T4182</f>
        <v>0.41960399999999998</v>
      </c>
    </row>
    <row r="4183" spans="1:38" hidden="1" x14ac:dyDescent="0.2">
      <c r="A4183" s="8">
        <v>2026</v>
      </c>
      <c r="B4183" s="8">
        <v>6</v>
      </c>
      <c r="C4183" s="8"/>
      <c r="D4183" s="2" t="s">
        <v>1913</v>
      </c>
      <c r="P4183" s="2" t="s">
        <v>283</v>
      </c>
      <c r="Q4183" s="2" t="s">
        <v>402</v>
      </c>
      <c r="R4183" s="2" t="s">
        <v>403</v>
      </c>
      <c r="S4183" s="9">
        <v>4</v>
      </c>
      <c r="T4183" s="10">
        <v>100</v>
      </c>
      <c r="U4183" s="2">
        <f t="shared" si="615"/>
        <v>23</v>
      </c>
      <c r="V4183" s="10">
        <f t="shared" si="616"/>
        <v>123</v>
      </c>
      <c r="W4183" s="2">
        <f t="shared" si="617"/>
        <v>58.0396</v>
      </c>
      <c r="X4183" s="5">
        <f t="shared" si="618"/>
        <v>0.41960399999999998</v>
      </c>
      <c r="Z4183" s="2" t="s">
        <v>3233</v>
      </c>
      <c r="AA4183" s="2" t="s">
        <v>46</v>
      </c>
      <c r="AB4183" s="2" t="s">
        <v>61</v>
      </c>
      <c r="AC4183" s="2" t="s">
        <v>3339</v>
      </c>
      <c r="AI4183" s="2"/>
      <c r="AK4183" s="2">
        <f t="shared" si="619"/>
        <v>41.9604</v>
      </c>
      <c r="AL4183" s="5">
        <f t="shared" si="620"/>
        <v>0.41960399999999998</v>
      </c>
    </row>
    <row r="4184" spans="1:38" hidden="1" x14ac:dyDescent="0.2">
      <c r="A4184" s="8">
        <v>2026</v>
      </c>
      <c r="B4184" s="8">
        <v>6</v>
      </c>
      <c r="C4184" s="8"/>
      <c r="D4184" s="2" t="s">
        <v>489</v>
      </c>
      <c r="E4184" s="2" t="s">
        <v>38</v>
      </c>
      <c r="F4184" s="2" t="s">
        <v>39</v>
      </c>
      <c r="G4184" s="2">
        <v>507380312</v>
      </c>
      <c r="H4184" s="2" t="s">
        <v>40</v>
      </c>
      <c r="I4184" s="2" t="s">
        <v>490</v>
      </c>
      <c r="J4184" s="2" t="s">
        <v>491</v>
      </c>
      <c r="K4184" s="2">
        <v>912293443</v>
      </c>
      <c r="L4184" s="2" t="s">
        <v>100</v>
      </c>
      <c r="M4184" s="2" t="s">
        <v>40</v>
      </c>
      <c r="P4184" s="2" t="s">
        <v>40</v>
      </c>
      <c r="Q4184" s="2" t="s">
        <v>492</v>
      </c>
      <c r="R4184" s="2" t="s">
        <v>493</v>
      </c>
      <c r="S4184" s="9">
        <v>1</v>
      </c>
      <c r="T4184" s="10">
        <v>678.91</v>
      </c>
      <c r="U4184" s="2">
        <f>T4184*23%</f>
        <v>156.14930000000001</v>
      </c>
      <c r="V4184" s="10">
        <f>T4184+U4184</f>
        <v>835.05930000000001</v>
      </c>
      <c r="X4184" s="5">
        <f t="shared" si="618"/>
        <v>1</v>
      </c>
      <c r="Z4184" s="2" t="s">
        <v>120</v>
      </c>
      <c r="AA4184" s="2" t="s">
        <v>493</v>
      </c>
      <c r="AI4184" s="2"/>
      <c r="AK4184" s="2">
        <f t="shared" si="619"/>
        <v>678.91</v>
      </c>
      <c r="AL4184" s="5">
        <f t="shared" si="620"/>
        <v>1</v>
      </c>
    </row>
    <row r="4185" spans="1:38" hidden="1" x14ac:dyDescent="0.2">
      <c r="A4185" s="8">
        <v>2026</v>
      </c>
      <c r="B4185" s="8">
        <v>6</v>
      </c>
      <c r="C4185" s="8"/>
      <c r="D4185" s="2" t="s">
        <v>3119</v>
      </c>
      <c r="M4185" s="2" t="s">
        <v>40</v>
      </c>
      <c r="P4185" s="2" t="s">
        <v>188</v>
      </c>
      <c r="Q4185" s="2" t="s">
        <v>189</v>
      </c>
      <c r="R4185" s="2" t="s">
        <v>190</v>
      </c>
      <c r="S4185" s="9">
        <v>1</v>
      </c>
      <c r="T4185" s="10">
        <v>60</v>
      </c>
      <c r="U4185" s="2">
        <f t="shared" ref="U4185:U4189" si="621">T4185*23%</f>
        <v>13.8</v>
      </c>
      <c r="V4185" s="2">
        <f t="shared" ref="V4185:V4189" si="622">T4185+U4185</f>
        <v>73.8</v>
      </c>
      <c r="W4185" s="2">
        <f>T4185*40%</f>
        <v>24</v>
      </c>
      <c r="X4185" s="5">
        <f>(T4185-W4185)/T4185</f>
        <v>0.6</v>
      </c>
      <c r="Z4185" s="2" t="s">
        <v>118</v>
      </c>
      <c r="AA4185" s="2" t="s">
        <v>191</v>
      </c>
      <c r="AB4185" s="2" t="s">
        <v>190</v>
      </c>
      <c r="AC4185" s="2" t="s">
        <v>40</v>
      </c>
      <c r="AG4185" s="2">
        <f>W4185</f>
        <v>24</v>
      </c>
      <c r="AI4185" s="2"/>
      <c r="AJ4185" s="2">
        <f>AI4185*T4185</f>
        <v>0</v>
      </c>
      <c r="AK4185" s="2">
        <f>T4185-W4185</f>
        <v>36</v>
      </c>
      <c r="AL4185" s="5">
        <f>(T4185-W4185)/T4185</f>
        <v>0.6</v>
      </c>
    </row>
    <row r="4186" spans="1:38" hidden="1" x14ac:dyDescent="0.2">
      <c r="A4186" s="8">
        <v>2026</v>
      </c>
      <c r="B4186" s="8">
        <v>6</v>
      </c>
      <c r="C4186" s="8"/>
      <c r="D4186" s="2" t="s">
        <v>3119</v>
      </c>
      <c r="M4186" s="2" t="s">
        <v>40</v>
      </c>
      <c r="P4186" s="2" t="s">
        <v>188</v>
      </c>
      <c r="Q4186" s="2" t="s">
        <v>192</v>
      </c>
      <c r="R4186" s="2" t="s">
        <v>191</v>
      </c>
      <c r="S4186" s="9">
        <v>4</v>
      </c>
      <c r="T4186" s="10">
        <v>220</v>
      </c>
      <c r="U4186" s="2">
        <f t="shared" si="621"/>
        <v>50.6</v>
      </c>
      <c r="V4186" s="2">
        <f t="shared" si="622"/>
        <v>270.60000000000002</v>
      </c>
      <c r="W4186" s="2">
        <f>T4186*50%</f>
        <v>110</v>
      </c>
      <c r="X4186" s="5">
        <f>(T4186-W4186)/T4186</f>
        <v>0.5</v>
      </c>
      <c r="Z4186" s="2" t="s">
        <v>118</v>
      </c>
      <c r="AA4186" s="2" t="s">
        <v>191</v>
      </c>
      <c r="AB4186" s="2" t="s">
        <v>191</v>
      </c>
      <c r="AC4186" s="2" t="s">
        <v>40</v>
      </c>
      <c r="AF4186" s="2">
        <f>AJ4186</f>
        <v>0</v>
      </c>
      <c r="AG4186" s="2">
        <f>W4186</f>
        <v>110</v>
      </c>
      <c r="AI4186" s="2"/>
      <c r="AJ4186" s="2">
        <f>AI4186*T4186</f>
        <v>0</v>
      </c>
      <c r="AK4186" s="2">
        <f>T4186-W4186</f>
        <v>110</v>
      </c>
      <c r="AL4186" s="5">
        <f>(T4186-W4186)/T4186</f>
        <v>0.5</v>
      </c>
    </row>
    <row r="4187" spans="1:38" hidden="1" x14ac:dyDescent="0.2">
      <c r="A4187" s="8">
        <v>2026</v>
      </c>
      <c r="B4187" s="8">
        <v>6</v>
      </c>
      <c r="C4187" s="8"/>
      <c r="D4187" s="2" t="s">
        <v>1400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3223</v>
      </c>
      <c r="J4187" s="2" t="s">
        <v>3222</v>
      </c>
      <c r="K4187" s="2">
        <v>913814877</v>
      </c>
      <c r="L4187" s="2" t="s">
        <v>202</v>
      </c>
      <c r="M4187" s="2" t="s">
        <v>81</v>
      </c>
      <c r="O4187" s="2" t="s">
        <v>3221</v>
      </c>
      <c r="P4187" s="2" t="s">
        <v>43</v>
      </c>
      <c r="Q4187" s="2" t="s">
        <v>55</v>
      </c>
      <c r="R4187" s="2" t="s">
        <v>56</v>
      </c>
      <c r="S4187" s="9">
        <v>3</v>
      </c>
      <c r="T4187" s="10">
        <v>54</v>
      </c>
      <c r="U4187" s="2">
        <f t="shared" si="621"/>
        <v>12.42</v>
      </c>
      <c r="V4187" s="10">
        <f t="shared" si="622"/>
        <v>66.42</v>
      </c>
      <c r="W4187" s="2">
        <f>10.6*S4187</f>
        <v>31.799999999999997</v>
      </c>
      <c r="X4187" s="5">
        <f>(T4187-W4187)/T4187</f>
        <v>0.41111111111111115</v>
      </c>
      <c r="Z4187" s="2" t="s">
        <v>3233</v>
      </c>
      <c r="AA4187" s="2" t="s">
        <v>46</v>
      </c>
      <c r="AB4187" s="2" t="s">
        <v>57</v>
      </c>
      <c r="AC4187" s="2" t="s">
        <v>58</v>
      </c>
      <c r="AF4187" s="2">
        <f>AJ4187</f>
        <v>0</v>
      </c>
      <c r="AG4187" s="2">
        <v>10.6</v>
      </c>
      <c r="AI4187" s="2"/>
      <c r="AJ4187" s="2">
        <f>AI4187*T4187</f>
        <v>0</v>
      </c>
      <c r="AK4187" s="2">
        <f>T4187-W4187</f>
        <v>22.200000000000003</v>
      </c>
      <c r="AL4187" s="5">
        <f>(T4187-W4187)/T4187</f>
        <v>0.41111111111111115</v>
      </c>
    </row>
    <row r="4188" spans="1:38" hidden="1" x14ac:dyDescent="0.2">
      <c r="A4188" s="8">
        <v>2026</v>
      </c>
      <c r="B4188" s="8">
        <v>6</v>
      </c>
      <c r="C4188" s="8"/>
      <c r="D4188" s="2" t="s">
        <v>1400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3223</v>
      </c>
      <c r="J4188" s="2" t="s">
        <v>3222</v>
      </c>
      <c r="K4188" s="2">
        <v>913814877</v>
      </c>
      <c r="L4188" s="2" t="s">
        <v>202</v>
      </c>
      <c r="M4188" s="2" t="s">
        <v>81</v>
      </c>
      <c r="O4188" s="2" t="s">
        <v>3221</v>
      </c>
      <c r="P4188" s="2" t="s">
        <v>170</v>
      </c>
      <c r="Q4188" s="2" t="s">
        <v>171</v>
      </c>
      <c r="R4188" s="2" t="s">
        <v>171</v>
      </c>
      <c r="S4188" s="9">
        <v>1</v>
      </c>
      <c r="T4188" s="10">
        <v>8</v>
      </c>
      <c r="U4188" s="2">
        <f>T4188*23%</f>
        <v>1.84</v>
      </c>
      <c r="V4188" s="10">
        <f>T4188+U4188</f>
        <v>9.84</v>
      </c>
      <c r="X4188" s="5">
        <f t="shared" ref="X4188" si="623">(T4188-W4188)/T4188</f>
        <v>1</v>
      </c>
      <c r="Z4188" s="2" t="s">
        <v>170</v>
      </c>
      <c r="AA4188" s="2" t="s">
        <v>170</v>
      </c>
      <c r="AI4188" s="2"/>
      <c r="AK4188" s="2">
        <f t="shared" ref="AK4188:AK4189" si="624">T4188-W4188</f>
        <v>8</v>
      </c>
      <c r="AL4188" s="5">
        <f t="shared" ref="AL4188:AL4189" si="625">(T4188-W4188)/T4188</f>
        <v>1</v>
      </c>
    </row>
    <row r="4189" spans="1:38" hidden="1" x14ac:dyDescent="0.2">
      <c r="A4189" s="8">
        <v>2026</v>
      </c>
      <c r="B4189" s="8">
        <v>6</v>
      </c>
      <c r="C4189" s="8"/>
      <c r="D4189" s="2" t="s">
        <v>2438</v>
      </c>
      <c r="P4189" s="2" t="s">
        <v>43</v>
      </c>
      <c r="Q4189" s="2" t="s">
        <v>2875</v>
      </c>
      <c r="R4189" s="2" t="s">
        <v>2876</v>
      </c>
      <c r="S4189" s="9">
        <v>2</v>
      </c>
      <c r="T4189" s="10">
        <v>100</v>
      </c>
      <c r="U4189" s="2">
        <f t="shared" si="621"/>
        <v>23</v>
      </c>
      <c r="V4189" s="10">
        <f t="shared" si="622"/>
        <v>123</v>
      </c>
      <c r="W4189" s="2">
        <f>W3923*S4189</f>
        <v>71.56</v>
      </c>
      <c r="X4189" s="5">
        <f>(T4189-W4189)/T4189</f>
        <v>0.28439999999999999</v>
      </c>
      <c r="Z4189" s="2" t="s">
        <v>3233</v>
      </c>
      <c r="AA4189" s="2" t="s">
        <v>46</v>
      </c>
      <c r="AB4189" s="2" t="s">
        <v>91</v>
      </c>
      <c r="AC4189" s="2" t="s">
        <v>58</v>
      </c>
      <c r="AI4189" s="2"/>
      <c r="AK4189" s="2">
        <f t="shared" si="624"/>
        <v>28.439999999999998</v>
      </c>
      <c r="AL4189" s="5">
        <f t="shared" si="625"/>
        <v>0.28439999999999999</v>
      </c>
    </row>
    <row r="4190" spans="1:38" hidden="1" x14ac:dyDescent="0.2">
      <c r="A4190" s="8">
        <v>2026</v>
      </c>
      <c r="B4190" s="8">
        <v>6</v>
      </c>
      <c r="C4190" s="8"/>
      <c r="D4190" s="2" t="s">
        <v>2438</v>
      </c>
      <c r="P4190" s="2" t="s">
        <v>170</v>
      </c>
      <c r="Q4190" s="2" t="s">
        <v>171</v>
      </c>
      <c r="R4190" s="2" t="s">
        <v>171</v>
      </c>
      <c r="S4190" s="9">
        <v>1</v>
      </c>
      <c r="T4190" s="10">
        <v>8</v>
      </c>
      <c r="U4190" s="2">
        <f>T4190*23%</f>
        <v>1.84</v>
      </c>
      <c r="V4190" s="10">
        <f>T4190+U4190</f>
        <v>9.84</v>
      </c>
      <c r="X4190" s="5">
        <f t="shared" ref="X4190:X4192" si="626">(T4190-W4190)/T4190</f>
        <v>1</v>
      </c>
      <c r="Z4190" s="2" t="s">
        <v>170</v>
      </c>
      <c r="AA4190" s="2" t="s">
        <v>170</v>
      </c>
      <c r="AI4190" s="2"/>
      <c r="AK4190" s="2">
        <f t="shared" ref="AK4190:AK4191" si="627">T4190-W4190</f>
        <v>8</v>
      </c>
      <c r="AL4190" s="5">
        <f t="shared" ref="AL4190:AL4191" si="628">(T4190-W4190)/T4190</f>
        <v>1</v>
      </c>
    </row>
    <row r="4191" spans="1:38" hidden="1" x14ac:dyDescent="0.2">
      <c r="A4191" s="8">
        <v>2026</v>
      </c>
      <c r="B4191" s="8">
        <v>6</v>
      </c>
      <c r="C4191" s="8"/>
      <c r="D4191" s="2" t="s">
        <v>2988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2989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792</v>
      </c>
      <c r="R4191" s="2" t="s">
        <v>793</v>
      </c>
      <c r="S4191" s="9">
        <v>-1</v>
      </c>
      <c r="T4191" s="10">
        <v>-187.92</v>
      </c>
      <c r="U4191" s="2">
        <f t="shared" ref="U4191:U4192" si="629">T4191*23%</f>
        <v>-43.221600000000002</v>
      </c>
      <c r="V4191" s="10">
        <f t="shared" ref="V4191:V4192" si="630">T4191+U4191</f>
        <v>-231.14159999999998</v>
      </c>
      <c r="AI4191" s="2"/>
      <c r="AK4191" s="2">
        <f t="shared" si="627"/>
        <v>-187.92</v>
      </c>
      <c r="AL4191" s="5">
        <f t="shared" si="628"/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2988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2989</v>
      </c>
      <c r="J4192" s="2" t="s">
        <v>1104</v>
      </c>
      <c r="K4192" s="2">
        <v>934645042</v>
      </c>
      <c r="L4192" s="2" t="s">
        <v>100</v>
      </c>
      <c r="P4192" s="2" t="s">
        <v>115</v>
      </c>
      <c r="Q4192" s="2" t="s">
        <v>796</v>
      </c>
      <c r="R4192" s="2" t="s">
        <v>2991</v>
      </c>
      <c r="S4192" s="9">
        <v>-1</v>
      </c>
      <c r="T4192" s="10">
        <v>-28.38</v>
      </c>
      <c r="U4192" s="2">
        <f t="shared" si="629"/>
        <v>-6.5274000000000001</v>
      </c>
      <c r="V4192" s="10">
        <f t="shared" si="630"/>
        <v>-34.907399999999996</v>
      </c>
      <c r="X4192" s="5">
        <f t="shared" si="626"/>
        <v>1</v>
      </c>
      <c r="AI4192" s="2"/>
      <c r="AK4192" s="2">
        <f t="shared" ref="AK4192" si="631">T4192-W4192</f>
        <v>-28.38</v>
      </c>
      <c r="AL4192" s="5">
        <f t="shared" ref="AL4192" si="632">(T4192-W4192)/T4192</f>
        <v>1</v>
      </c>
    </row>
    <row r="4193" spans="1:38" hidden="1" x14ac:dyDescent="0.2">
      <c r="A4193" s="8">
        <v>2026</v>
      </c>
      <c r="B4193" s="8">
        <v>6</v>
      </c>
      <c r="C4193" s="8"/>
      <c r="D4193" s="2" t="s">
        <v>2988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2989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189</v>
      </c>
      <c r="R4193" s="2" t="s">
        <v>190</v>
      </c>
      <c r="S4193" s="9">
        <v>-1</v>
      </c>
      <c r="T4193" s="10">
        <v>-94</v>
      </c>
      <c r="U4193" s="2">
        <f>T4193*23%</f>
        <v>-21.62</v>
      </c>
      <c r="V4193" s="2">
        <f>T4193+U4193</f>
        <v>-115.62</v>
      </c>
      <c r="W4193" s="2">
        <f>T4193*40%</f>
        <v>-37.6</v>
      </c>
      <c r="Z4193" s="2" t="s">
        <v>118</v>
      </c>
      <c r="AA4193" s="2" t="s">
        <v>191</v>
      </c>
      <c r="AB4193" s="2" t="s">
        <v>190</v>
      </c>
      <c r="AC4193" s="2" t="s">
        <v>40</v>
      </c>
      <c r="AG4193" s="2">
        <f>W4193</f>
        <v>-37.6</v>
      </c>
      <c r="AI4193" s="2"/>
      <c r="AJ4193" s="2">
        <f>AI4193*T4193</f>
        <v>0</v>
      </c>
      <c r="AK4193" s="2">
        <f>T4193-W4193</f>
        <v>-56.4</v>
      </c>
    </row>
    <row r="4194" spans="1:38" hidden="1" x14ac:dyDescent="0.2">
      <c r="A4194" s="8">
        <v>2026</v>
      </c>
      <c r="B4194" s="8">
        <v>6</v>
      </c>
      <c r="C4194" s="8"/>
      <c r="D4194" s="2" t="s">
        <v>2988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2989</v>
      </c>
      <c r="J4194" s="2" t="s">
        <v>1104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192</v>
      </c>
      <c r="R4194" s="2" t="s">
        <v>191</v>
      </c>
      <c r="S4194" s="9">
        <v>-1</v>
      </c>
      <c r="T4194" s="10">
        <v>-55</v>
      </c>
      <c r="U4194" s="2">
        <f>T4194*23%</f>
        <v>-12.65</v>
      </c>
      <c r="V4194" s="2">
        <f>T4194+U4194</f>
        <v>-67.650000000000006</v>
      </c>
      <c r="Z4194" s="2" t="s">
        <v>118</v>
      </c>
      <c r="AA4194" s="2" t="s">
        <v>191</v>
      </c>
      <c r="AB4194" s="2" t="s">
        <v>191</v>
      </c>
      <c r="AC4194" s="2" t="s">
        <v>40</v>
      </c>
      <c r="AF4194" s="2">
        <f>AJ4194</f>
        <v>0</v>
      </c>
      <c r="AG4194" s="2">
        <f>W4194</f>
        <v>0</v>
      </c>
      <c r="AI4194" s="2"/>
      <c r="AJ4194" s="2">
        <f>AI4194*T4194</f>
        <v>0</v>
      </c>
      <c r="AK4194" s="2">
        <f>T4194-W4194</f>
        <v>-55</v>
      </c>
    </row>
    <row r="4195" spans="1:38" hidden="1" x14ac:dyDescent="0.2">
      <c r="A4195" s="8">
        <v>2026</v>
      </c>
      <c r="B4195" s="8">
        <v>6</v>
      </c>
      <c r="C4195" s="8"/>
      <c r="D4195" s="2" t="s">
        <v>2988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2989</v>
      </c>
      <c r="J4195" s="2" t="s">
        <v>1104</v>
      </c>
      <c r="K4195" s="2">
        <v>934645042</v>
      </c>
      <c r="L4195" s="2" t="s">
        <v>100</v>
      </c>
      <c r="P4195" s="2" t="s">
        <v>40</v>
      </c>
      <c r="Q4195" s="2" t="s">
        <v>364</v>
      </c>
      <c r="R4195" s="2" t="s">
        <v>365</v>
      </c>
      <c r="S4195" s="9">
        <v>-1</v>
      </c>
      <c r="T4195" s="10">
        <v>-87.5</v>
      </c>
      <c r="U4195" s="2">
        <f>T4195*23%</f>
        <v>-20.125</v>
      </c>
      <c r="V4195" s="10">
        <f>T4195+U4195</f>
        <v>-107.625</v>
      </c>
      <c r="X4195" s="2"/>
      <c r="AI4195" s="2"/>
      <c r="AL4195" s="2"/>
    </row>
    <row r="4196" spans="1:38" hidden="1" x14ac:dyDescent="0.2">
      <c r="A4196" s="8">
        <v>2026</v>
      </c>
      <c r="B4196" s="8">
        <v>6</v>
      </c>
      <c r="C4196" s="8"/>
      <c r="D4196" s="2" t="s">
        <v>855</v>
      </c>
      <c r="E4196" s="2" t="s">
        <v>109</v>
      </c>
      <c r="F4196" s="2" t="s">
        <v>39</v>
      </c>
      <c r="G4196" s="2">
        <v>505128128</v>
      </c>
      <c r="H4196" s="2" t="s">
        <v>41</v>
      </c>
      <c r="I4196" s="2" t="s">
        <v>856</v>
      </c>
      <c r="J4196" s="2" t="s">
        <v>857</v>
      </c>
      <c r="K4196" s="2">
        <v>917665950</v>
      </c>
      <c r="L4196" s="2" t="s">
        <v>100</v>
      </c>
      <c r="P4196" s="2" t="s">
        <v>43</v>
      </c>
      <c r="Q4196" s="2" t="s">
        <v>49</v>
      </c>
      <c r="R4196" s="2" t="s">
        <v>50</v>
      </c>
      <c r="S4196" s="9">
        <v>4</v>
      </c>
      <c r="T4196" s="10">
        <v>48</v>
      </c>
      <c r="U4196" s="2">
        <f t="shared" ref="U4196:U4201" si="633">T4196*23%</f>
        <v>11.040000000000001</v>
      </c>
      <c r="V4196" s="10">
        <f t="shared" ref="V4196:V4201" si="634">T4196+U4196</f>
        <v>59.04</v>
      </c>
      <c r="W4196" s="2">
        <f>6.6267*S4196</f>
        <v>26.506799999999998</v>
      </c>
      <c r="X4196" s="5">
        <f>(T4196-W4196)/T4196</f>
        <v>0.44777500000000003</v>
      </c>
      <c r="Z4196" s="2" t="s">
        <v>3233</v>
      </c>
      <c r="AA4196" s="2" t="s">
        <v>46</v>
      </c>
      <c r="AB4196" s="2" t="s">
        <v>47</v>
      </c>
      <c r="AC4196" s="2" t="s">
        <v>48</v>
      </c>
      <c r="AF4196" s="2">
        <f>AJ4196</f>
        <v>0</v>
      </c>
      <c r="AG4196" s="2">
        <v>6.6266999999999996</v>
      </c>
      <c r="AH4196" s="2">
        <v>12</v>
      </c>
      <c r="AI4196" s="2"/>
      <c r="AJ4196" s="2">
        <f>AI4196*T4196</f>
        <v>0</v>
      </c>
      <c r="AK4196" s="2">
        <f>T4196-W4196</f>
        <v>21.493200000000002</v>
      </c>
      <c r="AL4196" s="5">
        <f>(T4196-W4196)/T4196</f>
        <v>0.44777500000000003</v>
      </c>
    </row>
    <row r="4197" spans="1:38" hidden="1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73</v>
      </c>
      <c r="Q4197" s="2" t="s">
        <v>326</v>
      </c>
      <c r="R4197" s="2" t="s">
        <v>80</v>
      </c>
      <c r="S4197" s="9">
        <v>1</v>
      </c>
      <c r="T4197" s="10">
        <v>220</v>
      </c>
      <c r="U4197" s="2">
        <f t="shared" si="633"/>
        <v>50.6</v>
      </c>
      <c r="V4197" s="10">
        <f t="shared" si="634"/>
        <v>270.60000000000002</v>
      </c>
      <c r="W4197" s="2">
        <f>110.68*S4197</f>
        <v>110.68</v>
      </c>
      <c r="X4197" s="5">
        <f>(T4197-W4197)/T4197</f>
        <v>0.49690909090909086</v>
      </c>
      <c r="Z4197" s="2" t="s">
        <v>3233</v>
      </c>
      <c r="AA4197" s="2" t="s">
        <v>76</v>
      </c>
      <c r="AB4197" s="2" t="s">
        <v>77</v>
      </c>
      <c r="AC4197" s="2" t="s">
        <v>78</v>
      </c>
      <c r="AF4197" s="2">
        <f>AJ4197</f>
        <v>0</v>
      </c>
      <c r="AG4197" s="2">
        <v>110.68</v>
      </c>
      <c r="AH4197" s="2">
        <v>210</v>
      </c>
      <c r="AI4197" s="2"/>
      <c r="AJ4197" s="2">
        <f>AI4197*T4197</f>
        <v>0</v>
      </c>
      <c r="AK4197" s="2">
        <f>T4197-W4197</f>
        <v>109.32</v>
      </c>
      <c r="AL4197" s="5">
        <f>(T4197-W4197)/T4197</f>
        <v>0.49690909090909086</v>
      </c>
    </row>
    <row r="4198" spans="1:38" hidden="1" x14ac:dyDescent="0.2">
      <c r="A4198" s="8">
        <v>2026</v>
      </c>
      <c r="B4198" s="8">
        <v>6</v>
      </c>
      <c r="C4198" s="8"/>
      <c r="D4198" s="2" t="s">
        <v>1055</v>
      </c>
      <c r="E4198" s="2" t="s">
        <v>184</v>
      </c>
      <c r="F4198" s="2" t="s">
        <v>1056</v>
      </c>
      <c r="G4198" s="2">
        <v>500199523</v>
      </c>
      <c r="H4198" s="2" t="s">
        <v>291</v>
      </c>
      <c r="I4198" s="2" t="s">
        <v>294</v>
      </c>
      <c r="J4198" s="2" t="s">
        <v>1057</v>
      </c>
      <c r="L4198" s="2" t="s">
        <v>294</v>
      </c>
      <c r="M4198" s="2" t="s">
        <v>81</v>
      </c>
      <c r="P4198" s="2" t="s">
        <v>94</v>
      </c>
      <c r="Q4198" s="2" t="s">
        <v>95</v>
      </c>
      <c r="R4198" s="2" t="s">
        <v>96</v>
      </c>
      <c r="S4198" s="9">
        <v>1</v>
      </c>
      <c r="T4198" s="10">
        <v>1.48</v>
      </c>
      <c r="U4198" s="2">
        <f t="shared" si="633"/>
        <v>0.34040000000000004</v>
      </c>
      <c r="V4198" s="10">
        <f t="shared" si="634"/>
        <v>1.8204</v>
      </c>
      <c r="W4198" s="2">
        <f>1.48*S4198</f>
        <v>1.48</v>
      </c>
      <c r="X4198" s="5">
        <f>(T4198-W4198)/T4198</f>
        <v>0</v>
      </c>
      <c r="Z4198" s="2" t="s">
        <v>3233</v>
      </c>
      <c r="AA4198" s="2" t="s">
        <v>97</v>
      </c>
      <c r="AB4198" s="2" t="s">
        <v>77</v>
      </c>
      <c r="AC4198" s="2" t="s">
        <v>94</v>
      </c>
      <c r="AF4198" s="2">
        <f>AJ4198</f>
        <v>0</v>
      </c>
      <c r="AG4198" s="2">
        <v>1.48</v>
      </c>
      <c r="AH4198" s="2">
        <v>1.48</v>
      </c>
      <c r="AI4198" s="2"/>
      <c r="AJ4198" s="2">
        <f>AI4198*T4198</f>
        <v>0</v>
      </c>
      <c r="AK4198" s="2">
        <f>T4198-W4198</f>
        <v>0</v>
      </c>
      <c r="AL4198" s="5">
        <f>(T4198-W4198)/T4198</f>
        <v>0</v>
      </c>
    </row>
    <row r="4199" spans="1:38" hidden="1" x14ac:dyDescent="0.2">
      <c r="A4199" s="8">
        <v>2026</v>
      </c>
      <c r="B4199" s="8">
        <v>6</v>
      </c>
      <c r="C4199" s="8" t="s">
        <v>3338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M4199" s="2" t="s">
        <v>40</v>
      </c>
      <c r="P4199" s="2" t="s">
        <v>40</v>
      </c>
      <c r="Q4199" s="2" t="s">
        <v>141</v>
      </c>
      <c r="R4199" s="2" t="s">
        <v>142</v>
      </c>
      <c r="S4199" s="9">
        <v>-2</v>
      </c>
      <c r="T4199" s="10">
        <v>-318.08999999999997</v>
      </c>
      <c r="U4199" s="2">
        <f t="shared" si="633"/>
        <v>-73.160699999999991</v>
      </c>
      <c r="V4199" s="10">
        <f t="shared" si="634"/>
        <v>-391.25069999999994</v>
      </c>
      <c r="Z4199" s="2" t="s">
        <v>120</v>
      </c>
      <c r="AA4199" s="2" t="s">
        <v>143</v>
      </c>
      <c r="AI4199" s="2"/>
    </row>
    <row r="4200" spans="1:38" hidden="1" x14ac:dyDescent="0.2">
      <c r="A4200" s="8">
        <v>2026</v>
      </c>
      <c r="B4200" s="8">
        <v>6</v>
      </c>
      <c r="C4200" s="8" t="s">
        <v>3338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P4200" s="2" t="s">
        <v>40</v>
      </c>
      <c r="Q4200" s="2" t="s">
        <v>364</v>
      </c>
      <c r="R4200" s="2" t="s">
        <v>365</v>
      </c>
      <c r="S4200" s="9">
        <v>1</v>
      </c>
      <c r="T4200" s="10">
        <v>65.3</v>
      </c>
      <c r="U4200" s="2">
        <f t="shared" si="633"/>
        <v>15.019</v>
      </c>
      <c r="V4200" s="10">
        <f t="shared" si="634"/>
        <v>80.319000000000003</v>
      </c>
      <c r="X4200" s="5">
        <f>(T4200-W4200)/T4200</f>
        <v>1</v>
      </c>
      <c r="Z4200" s="2" t="s">
        <v>120</v>
      </c>
      <c r="AA4200" s="2" t="s">
        <v>3388</v>
      </c>
      <c r="AI4200" s="2"/>
      <c r="AK4200" s="2">
        <f>T4200-W4200</f>
        <v>65.3</v>
      </c>
      <c r="AL4200" s="5">
        <f>(T4200-W4200)/T4200</f>
        <v>1</v>
      </c>
    </row>
    <row r="4201" spans="1:38" hidden="1" x14ac:dyDescent="0.2">
      <c r="A4201" s="8">
        <v>2026</v>
      </c>
      <c r="B4201" s="8">
        <v>6</v>
      </c>
      <c r="C4201" s="8"/>
      <c r="D4201" s="2" t="s">
        <v>3116</v>
      </c>
      <c r="P4201" s="2" t="s">
        <v>40</v>
      </c>
      <c r="Q4201" s="2" t="s">
        <v>3067</v>
      </c>
      <c r="R4201" s="2" t="s">
        <v>3068</v>
      </c>
      <c r="S4201" s="9">
        <v>11601</v>
      </c>
      <c r="T4201" s="10">
        <v>2098.09</v>
      </c>
      <c r="U4201" s="2">
        <f t="shared" si="633"/>
        <v>482.56070000000005</v>
      </c>
      <c r="V4201" s="10">
        <f t="shared" si="634"/>
        <v>2580.6507000000001</v>
      </c>
      <c r="X4201" s="5">
        <f t="shared" ref="X4201" si="635">(T4201-W4201)/T4201</f>
        <v>1</v>
      </c>
      <c r="Z4201" s="2" t="s">
        <v>120</v>
      </c>
      <c r="AA4201" s="2" t="s">
        <v>3299</v>
      </c>
      <c r="AI4201" s="2"/>
      <c r="AK4201" s="2">
        <f t="shared" ref="AK4201" si="636">T4201-W4201</f>
        <v>2098.09</v>
      </c>
      <c r="AL4201" s="5">
        <f t="shared" ref="AL4201" si="637"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3140</v>
      </c>
      <c r="L4202" s="2" t="s">
        <v>178</v>
      </c>
      <c r="M4202" s="2" t="s">
        <v>41</v>
      </c>
      <c r="O4202" s="2" t="s">
        <v>3150</v>
      </c>
      <c r="P4202" s="2" t="s">
        <v>115</v>
      </c>
      <c r="Q4202" s="2" t="s">
        <v>1101</v>
      </c>
      <c r="R4202" s="2" t="s">
        <v>1102</v>
      </c>
      <c r="S4202" s="9">
        <v>1</v>
      </c>
      <c r="T4202" s="10">
        <v>184.34</v>
      </c>
      <c r="U4202" s="2">
        <f t="shared" ref="U4202:U4209" si="638">T4202*23%</f>
        <v>42.398200000000003</v>
      </c>
      <c r="V4202" s="10">
        <f t="shared" ref="V4202:V4210" si="639">T4202+U4202</f>
        <v>226.73820000000001</v>
      </c>
      <c r="W4202" s="2">
        <v>69.67</v>
      </c>
      <c r="X4202" s="5">
        <f>(T4202-W4202)/T4202</f>
        <v>0.6220570684604535</v>
      </c>
      <c r="Z4202" s="2" t="s">
        <v>118</v>
      </c>
      <c r="AA4202" s="2" t="s">
        <v>119</v>
      </c>
      <c r="AB4202" s="2" t="s">
        <v>120</v>
      </c>
      <c r="AC4202" s="2" t="s">
        <v>115</v>
      </c>
      <c r="AI4202" s="2"/>
      <c r="AL4202" s="2"/>
    </row>
    <row r="4203" spans="1:38" hidden="1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3140</v>
      </c>
      <c r="L4203" s="2" t="s">
        <v>178</v>
      </c>
      <c r="M4203" s="2" t="s">
        <v>41</v>
      </c>
      <c r="O4203" s="2" t="s">
        <v>3151</v>
      </c>
      <c r="P4203" s="2" t="s">
        <v>43</v>
      </c>
      <c r="Q4203" s="2" t="s">
        <v>49</v>
      </c>
      <c r="R4203" s="2" t="s">
        <v>50</v>
      </c>
      <c r="S4203" s="9">
        <v>2</v>
      </c>
      <c r="T4203" s="10">
        <v>26</v>
      </c>
      <c r="U4203" s="2">
        <f t="shared" si="638"/>
        <v>5.98</v>
      </c>
      <c r="V4203" s="10">
        <f t="shared" si="639"/>
        <v>31.98</v>
      </c>
      <c r="W4203" s="2">
        <f>6.6267*S4203</f>
        <v>13.253399999999999</v>
      </c>
      <c r="X4203" s="5">
        <f>(T4203-W4203)/T4203</f>
        <v>0.49025384615384621</v>
      </c>
      <c r="Z4203" s="2" t="s">
        <v>3233</v>
      </c>
      <c r="AA4203" s="2" t="s">
        <v>46</v>
      </c>
      <c r="AB4203" s="2" t="s">
        <v>47</v>
      </c>
      <c r="AC4203" s="2" t="s">
        <v>48</v>
      </c>
      <c r="AF4203" s="2">
        <f>AJ4203</f>
        <v>0</v>
      </c>
      <c r="AG4203" s="2">
        <v>6.6266999999999996</v>
      </c>
      <c r="AH4203" s="2">
        <v>12</v>
      </c>
      <c r="AI4203" s="2"/>
      <c r="AJ4203" s="2">
        <f t="shared" ref="AJ4203:AJ4209" si="640">AI4203*T4203</f>
        <v>0</v>
      </c>
      <c r="AK4203" s="2">
        <f t="shared" ref="AK4203:AK4210" si="641">T4203-W4203</f>
        <v>12.746600000000001</v>
      </c>
      <c r="AL4203" s="5">
        <f>(T4203-W4203)/T4203</f>
        <v>0.49025384615384621</v>
      </c>
    </row>
    <row r="4204" spans="1:38" hidden="1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3140</v>
      </c>
      <c r="L4204" s="2" t="s">
        <v>178</v>
      </c>
      <c r="M4204" s="2" t="s">
        <v>41</v>
      </c>
      <c r="O4204" s="2" t="s">
        <v>3149</v>
      </c>
      <c r="P4204" s="2" t="s">
        <v>167</v>
      </c>
      <c r="Q4204" s="2" t="s">
        <v>3069</v>
      </c>
      <c r="R4204" s="2" t="s">
        <v>3070</v>
      </c>
      <c r="S4204" s="9">
        <v>6</v>
      </c>
      <c r="T4204" s="10">
        <v>8.82</v>
      </c>
      <c r="U4204" s="2">
        <f t="shared" si="638"/>
        <v>2.0286</v>
      </c>
      <c r="V4204" s="10">
        <f t="shared" si="639"/>
        <v>10.848600000000001</v>
      </c>
      <c r="W4204" s="2">
        <f>1.32*S4204</f>
        <v>7.92</v>
      </c>
      <c r="X4204" s="5">
        <f>(T4204-W4204)/T4204</f>
        <v>0.10204081632653066</v>
      </c>
      <c r="Z4204" s="2" t="s">
        <v>3233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40"/>
        <v>0</v>
      </c>
      <c r="AK4204" s="2">
        <f t="shared" si="641"/>
        <v>0.90000000000000036</v>
      </c>
      <c r="AL4204" s="5">
        <f>(T4204-W4204)/T4204</f>
        <v>0.10204081632653066</v>
      </c>
    </row>
    <row r="4205" spans="1:38" hidden="1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3140</v>
      </c>
      <c r="L4205" s="2" t="s">
        <v>178</v>
      </c>
      <c r="M4205" s="2" t="s">
        <v>41</v>
      </c>
      <c r="O4205" s="2" t="s">
        <v>3149</v>
      </c>
      <c r="P4205" s="2" t="s">
        <v>167</v>
      </c>
      <c r="Q4205" s="2" t="s">
        <v>1048</v>
      </c>
      <c r="R4205" s="2" t="s">
        <v>1049</v>
      </c>
      <c r="S4205" s="9">
        <v>6</v>
      </c>
      <c r="T4205" s="10">
        <v>14.7</v>
      </c>
      <c r="U4205" s="2">
        <f t="shared" si="638"/>
        <v>3.3809999999999998</v>
      </c>
      <c r="V4205" s="10">
        <f t="shared" si="639"/>
        <v>18.081</v>
      </c>
      <c r="W4205" s="2">
        <f>1.7*S4205</f>
        <v>10.199999999999999</v>
      </c>
      <c r="X4205" s="5">
        <f>(T4205-W4205)/T4205</f>
        <v>0.30612244897959184</v>
      </c>
      <c r="Z4205" s="2" t="s">
        <v>3233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640"/>
        <v>0</v>
      </c>
      <c r="AK4205" s="2">
        <f t="shared" si="641"/>
        <v>4.5</v>
      </c>
      <c r="AL4205" s="5">
        <f>(T4205-W4205)/T4205</f>
        <v>0.30612244897959184</v>
      </c>
    </row>
    <row r="4206" spans="1:38" hidden="1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3140</v>
      </c>
      <c r="L4206" s="2" t="s">
        <v>178</v>
      </c>
      <c r="M4206" s="2" t="s">
        <v>40</v>
      </c>
      <c r="O4206" s="2" t="s">
        <v>3150</v>
      </c>
      <c r="P4206" s="2" t="s">
        <v>188</v>
      </c>
      <c r="Q4206" s="2" t="s">
        <v>189</v>
      </c>
      <c r="R4206" s="2" t="s">
        <v>190</v>
      </c>
      <c r="S4206" s="9">
        <v>1</v>
      </c>
      <c r="T4206" s="10">
        <v>0</v>
      </c>
      <c r="U4206" s="2">
        <f t="shared" si="638"/>
        <v>0</v>
      </c>
      <c r="V4206" s="2">
        <f t="shared" si="639"/>
        <v>0</v>
      </c>
      <c r="W4206" s="2">
        <f>T4206*40%</f>
        <v>0</v>
      </c>
      <c r="X4206" s="5">
        <v>0</v>
      </c>
      <c r="Z4206" s="2" t="s">
        <v>118</v>
      </c>
      <c r="AA4206" s="2" t="s">
        <v>191</v>
      </c>
      <c r="AB4206" s="2" t="s">
        <v>190</v>
      </c>
      <c r="AC4206" s="2" t="s">
        <v>40</v>
      </c>
      <c r="AG4206" s="2">
        <f>W4206</f>
        <v>0</v>
      </c>
      <c r="AI4206" s="2"/>
      <c r="AJ4206" s="2">
        <f t="shared" si="640"/>
        <v>0</v>
      </c>
      <c r="AK4206" s="2">
        <f t="shared" si="641"/>
        <v>0</v>
      </c>
      <c r="AL4206" s="5">
        <v>0</v>
      </c>
    </row>
    <row r="4207" spans="1:38" hidden="1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3140</v>
      </c>
      <c r="L4207" s="2" t="s">
        <v>178</v>
      </c>
      <c r="M4207" s="2" t="s">
        <v>40</v>
      </c>
      <c r="O4207" s="2" t="s">
        <v>3150</v>
      </c>
      <c r="P4207" s="2" t="s">
        <v>188</v>
      </c>
      <c r="Q4207" s="2" t="s">
        <v>192</v>
      </c>
      <c r="R4207" s="2" t="s">
        <v>191</v>
      </c>
      <c r="S4207" s="9">
        <v>1</v>
      </c>
      <c r="T4207" s="10">
        <v>55</v>
      </c>
      <c r="U4207" s="2">
        <f t="shared" si="638"/>
        <v>12.65</v>
      </c>
      <c r="V4207" s="2">
        <f t="shared" si="639"/>
        <v>67.650000000000006</v>
      </c>
      <c r="W4207" s="2">
        <f>T4207*50%</f>
        <v>27.5</v>
      </c>
      <c r="X4207" s="5">
        <f>(T4207-W4207)/T4207</f>
        <v>0.5</v>
      </c>
      <c r="Z4207" s="2" t="s">
        <v>118</v>
      </c>
      <c r="AA4207" s="2" t="s">
        <v>191</v>
      </c>
      <c r="AB4207" s="2" t="s">
        <v>191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640"/>
        <v>0</v>
      </c>
      <c r="AK4207" s="2">
        <f t="shared" si="641"/>
        <v>27.5</v>
      </c>
      <c r="AL4207" s="5">
        <f>(T4207-W4207)/T4207</f>
        <v>0.5</v>
      </c>
    </row>
    <row r="4208" spans="1:38" hidden="1" x14ac:dyDescent="0.2">
      <c r="A4208" s="8">
        <v>2026</v>
      </c>
      <c r="B4208" s="8">
        <v>6</v>
      </c>
      <c r="C4208" s="8"/>
      <c r="D4208" s="2" t="s">
        <v>3117</v>
      </c>
      <c r="M4208" s="2" t="s">
        <v>40</v>
      </c>
      <c r="P4208" s="2" t="s">
        <v>188</v>
      </c>
      <c r="Q4208" s="2" t="s">
        <v>189</v>
      </c>
      <c r="R4208" s="2" t="s">
        <v>190</v>
      </c>
      <c r="S4208" s="9">
        <v>1</v>
      </c>
      <c r="T4208" s="10">
        <v>125</v>
      </c>
      <c r="U4208" s="2">
        <f t="shared" si="638"/>
        <v>28.75</v>
      </c>
      <c r="V4208" s="2">
        <f t="shared" si="639"/>
        <v>153.75</v>
      </c>
      <c r="W4208" s="2">
        <f>T4208*40%</f>
        <v>50</v>
      </c>
      <c r="X4208" s="5">
        <f>(T4208-W4208)/T4208</f>
        <v>0.6</v>
      </c>
      <c r="Z4208" s="2" t="s">
        <v>118</v>
      </c>
      <c r="AA4208" s="2" t="s">
        <v>191</v>
      </c>
      <c r="AB4208" s="2" t="s">
        <v>190</v>
      </c>
      <c r="AC4208" s="2" t="s">
        <v>40</v>
      </c>
      <c r="AG4208" s="2">
        <f>W4208</f>
        <v>50</v>
      </c>
      <c r="AI4208" s="2"/>
      <c r="AJ4208" s="2">
        <f t="shared" si="640"/>
        <v>0</v>
      </c>
      <c r="AK4208" s="2">
        <f t="shared" si="641"/>
        <v>75</v>
      </c>
      <c r="AL4208" s="5">
        <f>(T4208-W4208)/T4208</f>
        <v>0.6</v>
      </c>
    </row>
    <row r="4209" spans="1:38" hidden="1" x14ac:dyDescent="0.2">
      <c r="A4209" s="8">
        <v>2026</v>
      </c>
      <c r="B4209" s="8">
        <v>6</v>
      </c>
      <c r="C4209" s="8"/>
      <c r="D4209" s="2" t="s">
        <v>3117</v>
      </c>
      <c r="M4209" s="2" t="s">
        <v>40</v>
      </c>
      <c r="P4209" s="2" t="s">
        <v>188</v>
      </c>
      <c r="Q4209" s="2" t="s">
        <v>192</v>
      </c>
      <c r="R4209" s="2" t="s">
        <v>191</v>
      </c>
      <c r="S4209" s="9">
        <v>1</v>
      </c>
      <c r="T4209" s="10">
        <v>55</v>
      </c>
      <c r="U4209" s="2">
        <f t="shared" si="638"/>
        <v>12.65</v>
      </c>
      <c r="V4209" s="2">
        <f t="shared" si="639"/>
        <v>67.650000000000006</v>
      </c>
      <c r="W4209" s="2">
        <f>T4209*50%</f>
        <v>27.5</v>
      </c>
      <c r="X4209" s="5">
        <f>(T4209-W4209)/T4209</f>
        <v>0.5</v>
      </c>
      <c r="Z4209" s="2" t="s">
        <v>118</v>
      </c>
      <c r="AA4209" s="2" t="s">
        <v>191</v>
      </c>
      <c r="AB4209" s="2" t="s">
        <v>191</v>
      </c>
      <c r="AC4209" s="2" t="s">
        <v>40</v>
      </c>
      <c r="AF4209" s="2">
        <f>AJ4209</f>
        <v>0</v>
      </c>
      <c r="AG4209" s="2">
        <f>W4209</f>
        <v>27.5</v>
      </c>
      <c r="AI4209" s="2"/>
      <c r="AJ4209" s="2">
        <f t="shared" si="640"/>
        <v>0</v>
      </c>
      <c r="AK4209" s="2">
        <f t="shared" si="641"/>
        <v>27.5</v>
      </c>
      <c r="AL4209" s="5">
        <f>(T4209-W4209)/T4209</f>
        <v>0.5</v>
      </c>
    </row>
    <row r="4210" spans="1:38" hidden="1" x14ac:dyDescent="0.2">
      <c r="A4210" s="8">
        <v>2026</v>
      </c>
      <c r="B4210" s="8">
        <v>6</v>
      </c>
      <c r="C4210" s="8" t="s">
        <v>3400</v>
      </c>
      <c r="D4210" s="2" t="s">
        <v>1724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283</v>
      </c>
      <c r="Q4210" s="2" t="s">
        <v>1439</v>
      </c>
      <c r="R4210" s="2" t="s">
        <v>1440</v>
      </c>
      <c r="S4210" s="9">
        <v>1</v>
      </c>
      <c r="T4210" s="10">
        <v>6.9</v>
      </c>
      <c r="U4210" s="2">
        <f>T4210*23%</f>
        <v>1.5870000000000002</v>
      </c>
      <c r="V4210" s="2">
        <f t="shared" si="639"/>
        <v>8.4870000000000001</v>
      </c>
      <c r="W4210" s="2">
        <f>5.135*S4210</f>
        <v>5.1349999999999998</v>
      </c>
      <c r="X4210" s="5">
        <f t="shared" ref="X4210:X4220" si="642">(T4210-W4210)/T4210</f>
        <v>0.25579710144927542</v>
      </c>
      <c r="Z4210" s="2" t="s">
        <v>3233</v>
      </c>
      <c r="AA4210" s="2" t="s">
        <v>72</v>
      </c>
      <c r="AB4210" s="2" t="s">
        <v>120</v>
      </c>
      <c r="AC4210" s="2" t="s">
        <v>120</v>
      </c>
      <c r="AI4210" s="2"/>
      <c r="AK4210" s="2">
        <f t="shared" si="641"/>
        <v>1.7650000000000006</v>
      </c>
      <c r="AL4210" s="5">
        <f t="shared" ref="AL4210" si="643">(T4210-W4210)/T4210</f>
        <v>0.25579710144927542</v>
      </c>
    </row>
    <row r="4211" spans="1:38" hidden="1" x14ac:dyDescent="0.2">
      <c r="A4211" s="8">
        <v>2026</v>
      </c>
      <c r="B4211" s="8">
        <v>6</v>
      </c>
      <c r="C4211" s="8" t="s">
        <v>3400</v>
      </c>
      <c r="D4211" s="2" t="s">
        <v>1724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2903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ref="U4211:U4219" si="644">T4211*23%</f>
        <v>1.6652</v>
      </c>
      <c r="V4211" s="2">
        <f t="shared" ref="V4211:V4219" si="645">T4211+U4211</f>
        <v>8.9052000000000007</v>
      </c>
      <c r="W4211" s="2">
        <v>5.07</v>
      </c>
      <c r="X4211" s="5">
        <f t="shared" si="642"/>
        <v>0.29972375690607733</v>
      </c>
      <c r="Z4211" s="2" t="s">
        <v>3233</v>
      </c>
      <c r="AA4211" s="2" t="s">
        <v>72</v>
      </c>
      <c r="AB4211" s="2" t="s">
        <v>2903</v>
      </c>
      <c r="AC4211" s="2" t="s">
        <v>2903</v>
      </c>
      <c r="AI4211" s="2"/>
      <c r="AK4211" s="2">
        <f t="shared" ref="AK4211:AK4218" si="646">T4211-W4211</f>
        <v>2.17</v>
      </c>
      <c r="AL4211" s="5">
        <f t="shared" ref="AL4211:AL4218" si="647">(T4211-W4211)/T4211</f>
        <v>0.29972375690607733</v>
      </c>
    </row>
    <row r="4212" spans="1:38" hidden="1" x14ac:dyDescent="0.2">
      <c r="A4212" s="8">
        <v>2026</v>
      </c>
      <c r="B4212" s="8">
        <v>6</v>
      </c>
      <c r="C4212" s="8" t="s">
        <v>3400</v>
      </c>
      <c r="D4212" s="2" t="s">
        <v>1724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2903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44"/>
        <v>1.6652</v>
      </c>
      <c r="V4212" s="2">
        <f t="shared" si="645"/>
        <v>8.9052000000000007</v>
      </c>
      <c r="W4212" s="2">
        <v>5.07</v>
      </c>
      <c r="X4212" s="5">
        <f t="shared" si="642"/>
        <v>0.29972375690607733</v>
      </c>
      <c r="Z4212" s="2" t="s">
        <v>3233</v>
      </c>
      <c r="AA4212" s="2" t="s">
        <v>72</v>
      </c>
      <c r="AB4212" s="2" t="s">
        <v>2903</v>
      </c>
      <c r="AC4212" s="2" t="s">
        <v>2903</v>
      </c>
      <c r="AI4212" s="2"/>
      <c r="AK4212" s="2">
        <f t="shared" si="646"/>
        <v>2.17</v>
      </c>
      <c r="AL4212" s="5">
        <f t="shared" si="647"/>
        <v>0.29972375690607733</v>
      </c>
    </row>
    <row r="4213" spans="1:38" hidden="1" x14ac:dyDescent="0.2">
      <c r="A4213" s="8">
        <v>2026</v>
      </c>
      <c r="B4213" s="8">
        <v>6</v>
      </c>
      <c r="C4213" s="8" t="s">
        <v>3400</v>
      </c>
      <c r="D4213" s="2" t="s">
        <v>1724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2903</v>
      </c>
      <c r="Q4213" s="2" t="s">
        <v>3075</v>
      </c>
      <c r="R4213" s="2" t="s">
        <v>3076</v>
      </c>
      <c r="S4213" s="9">
        <v>1</v>
      </c>
      <c r="T4213" s="10">
        <v>7.24</v>
      </c>
      <c r="U4213" s="2">
        <f t="shared" si="644"/>
        <v>1.6652</v>
      </c>
      <c r="V4213" s="2">
        <f t="shared" si="645"/>
        <v>8.9052000000000007</v>
      </c>
      <c r="W4213" s="2">
        <f>5.07</f>
        <v>5.07</v>
      </c>
      <c r="X4213" s="5">
        <f t="shared" si="642"/>
        <v>0.29972375690607733</v>
      </c>
      <c r="Z4213" s="2" t="s">
        <v>3233</v>
      </c>
      <c r="AA4213" s="2" t="s">
        <v>72</v>
      </c>
      <c r="AB4213" s="2" t="s">
        <v>2903</v>
      </c>
      <c r="AC4213" s="2" t="s">
        <v>2903</v>
      </c>
      <c r="AI4213" s="2"/>
      <c r="AK4213" s="2">
        <f t="shared" si="646"/>
        <v>2.17</v>
      </c>
      <c r="AL4213" s="5">
        <f t="shared" si="647"/>
        <v>0.29972375690607733</v>
      </c>
    </row>
    <row r="4214" spans="1:38" hidden="1" x14ac:dyDescent="0.2">
      <c r="A4214" s="8">
        <v>2026</v>
      </c>
      <c r="B4214" s="8">
        <v>6</v>
      </c>
      <c r="C4214" s="8" t="s">
        <v>3400</v>
      </c>
      <c r="D4214" s="2" t="s">
        <v>1724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2903</v>
      </c>
      <c r="Q4214" s="2" t="s">
        <v>3077</v>
      </c>
      <c r="R4214" s="2" t="s">
        <v>3078</v>
      </c>
      <c r="S4214" s="9">
        <v>1</v>
      </c>
      <c r="T4214" s="10">
        <v>16.899999999999999</v>
      </c>
      <c r="U4214" s="2">
        <f t="shared" si="644"/>
        <v>3.887</v>
      </c>
      <c r="V4214" s="2">
        <f t="shared" si="645"/>
        <v>20.786999999999999</v>
      </c>
      <c r="W4214" s="2">
        <f>12.68</f>
        <v>12.68</v>
      </c>
      <c r="X4214" s="5">
        <f t="shared" si="642"/>
        <v>0.24970414201183427</v>
      </c>
      <c r="Z4214" s="2" t="s">
        <v>3233</v>
      </c>
      <c r="AA4214" s="2" t="s">
        <v>72</v>
      </c>
      <c r="AB4214" s="2" t="s">
        <v>2903</v>
      </c>
      <c r="AC4214" s="2" t="s">
        <v>2903</v>
      </c>
      <c r="AI4214" s="2"/>
      <c r="AK4214" s="2">
        <f t="shared" si="646"/>
        <v>4.2199999999999989</v>
      </c>
      <c r="AL4214" s="5">
        <f t="shared" si="647"/>
        <v>0.24970414201183427</v>
      </c>
    </row>
    <row r="4215" spans="1:38" hidden="1" x14ac:dyDescent="0.2">
      <c r="A4215" s="8">
        <v>2026</v>
      </c>
      <c r="B4215" s="8">
        <v>6</v>
      </c>
      <c r="C4215" s="8" t="s">
        <v>3400</v>
      </c>
      <c r="D4215" s="2" t="s">
        <v>1724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2903</v>
      </c>
      <c r="Q4215" s="2" t="s">
        <v>3079</v>
      </c>
      <c r="R4215" s="2" t="s">
        <v>3080</v>
      </c>
      <c r="S4215" s="9">
        <v>1</v>
      </c>
      <c r="T4215" s="10">
        <v>19</v>
      </c>
      <c r="U4215" s="2">
        <f t="shared" si="644"/>
        <v>4.37</v>
      </c>
      <c r="V4215" s="2">
        <f t="shared" si="645"/>
        <v>23.37</v>
      </c>
      <c r="W4215" s="2">
        <f>14.25</f>
        <v>14.25</v>
      </c>
      <c r="X4215" s="5">
        <f t="shared" si="642"/>
        <v>0.25</v>
      </c>
      <c r="Z4215" s="2" t="s">
        <v>3233</v>
      </c>
      <c r="AA4215" s="2" t="s">
        <v>72</v>
      </c>
      <c r="AB4215" s="2" t="s">
        <v>2903</v>
      </c>
      <c r="AC4215" s="2" t="s">
        <v>2903</v>
      </c>
      <c r="AI4215" s="2"/>
      <c r="AK4215" s="2">
        <f t="shared" si="646"/>
        <v>4.75</v>
      </c>
      <c r="AL4215" s="5">
        <f t="shared" si="647"/>
        <v>0.25</v>
      </c>
    </row>
    <row r="4216" spans="1:38" hidden="1" x14ac:dyDescent="0.2">
      <c r="A4216" s="8">
        <v>2026</v>
      </c>
      <c r="B4216" s="8">
        <v>6</v>
      </c>
      <c r="C4216" s="8" t="s">
        <v>3400</v>
      </c>
      <c r="D4216" s="2" t="s">
        <v>1724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2903</v>
      </c>
      <c r="Q4216" s="2" t="s">
        <v>3081</v>
      </c>
      <c r="R4216" s="2" t="s">
        <v>3082</v>
      </c>
      <c r="S4216" s="9">
        <v>1</v>
      </c>
      <c r="T4216" s="10">
        <v>43.5</v>
      </c>
      <c r="U4216" s="2">
        <f t="shared" si="644"/>
        <v>10.005000000000001</v>
      </c>
      <c r="V4216" s="2">
        <f t="shared" si="645"/>
        <v>53.505000000000003</v>
      </c>
      <c r="W4216" s="2">
        <f>32.63</f>
        <v>32.630000000000003</v>
      </c>
      <c r="X4216" s="5">
        <f t="shared" si="642"/>
        <v>0.2498850574712643</v>
      </c>
      <c r="Z4216" s="2" t="s">
        <v>3233</v>
      </c>
      <c r="AA4216" s="2" t="s">
        <v>72</v>
      </c>
      <c r="AB4216" s="2" t="s">
        <v>2903</v>
      </c>
      <c r="AC4216" s="2" t="s">
        <v>2903</v>
      </c>
      <c r="AI4216" s="2"/>
      <c r="AK4216" s="2">
        <f t="shared" si="646"/>
        <v>10.869999999999997</v>
      </c>
      <c r="AL4216" s="5">
        <f t="shared" si="647"/>
        <v>0.2498850574712643</v>
      </c>
    </row>
    <row r="4217" spans="1:38" hidden="1" x14ac:dyDescent="0.2">
      <c r="A4217" s="8">
        <v>2026</v>
      </c>
      <c r="B4217" s="8">
        <v>6</v>
      </c>
      <c r="C4217" s="8" t="s">
        <v>3400</v>
      </c>
      <c r="D4217" s="2" t="s">
        <v>1724</v>
      </c>
      <c r="E4217" s="2" t="s">
        <v>753</v>
      </c>
      <c r="F4217" s="2" t="s">
        <v>39</v>
      </c>
      <c r="L4217" s="2" t="s">
        <v>399</v>
      </c>
      <c r="M4217" s="2" t="s">
        <v>110</v>
      </c>
      <c r="P4217" s="2" t="s">
        <v>2903</v>
      </c>
      <c r="Q4217" s="2" t="s">
        <v>3083</v>
      </c>
      <c r="R4217" s="2" t="s">
        <v>3084</v>
      </c>
      <c r="S4217" s="9">
        <v>1</v>
      </c>
      <c r="T4217" s="10">
        <v>13.6</v>
      </c>
      <c r="U4217" s="2">
        <f t="shared" si="644"/>
        <v>3.1280000000000001</v>
      </c>
      <c r="V4217" s="2">
        <f t="shared" si="645"/>
        <v>16.728000000000002</v>
      </c>
      <c r="W4217" s="2">
        <f>10.2</f>
        <v>10.199999999999999</v>
      </c>
      <c r="X4217" s="5">
        <f t="shared" si="642"/>
        <v>0.25000000000000006</v>
      </c>
      <c r="Z4217" s="2" t="s">
        <v>3233</v>
      </c>
      <c r="AA4217" s="2" t="s">
        <v>72</v>
      </c>
      <c r="AB4217" s="2" t="s">
        <v>2903</v>
      </c>
      <c r="AC4217" s="2" t="s">
        <v>2903</v>
      </c>
      <c r="AI4217" s="2"/>
      <c r="AK4217" s="2">
        <f t="shared" si="646"/>
        <v>3.4000000000000004</v>
      </c>
      <c r="AL4217" s="5">
        <f t="shared" si="647"/>
        <v>0.25000000000000006</v>
      </c>
    </row>
    <row r="4218" spans="1:38" hidden="1" x14ac:dyDescent="0.2">
      <c r="A4218" s="8">
        <v>2026</v>
      </c>
      <c r="B4218" s="8">
        <v>6</v>
      </c>
      <c r="C4218" s="8" t="s">
        <v>3301</v>
      </c>
      <c r="D4218" s="2" t="s">
        <v>3115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69</v>
      </c>
      <c r="Q4218" s="2" t="s">
        <v>3085</v>
      </c>
      <c r="R4218" s="2" t="s">
        <v>3086</v>
      </c>
      <c r="S4218" s="9">
        <v>1</v>
      </c>
      <c r="T4218" s="10">
        <v>43</v>
      </c>
      <c r="U4218" s="2">
        <f t="shared" si="644"/>
        <v>9.89</v>
      </c>
      <c r="V4218" s="2">
        <f t="shared" si="645"/>
        <v>52.89</v>
      </c>
      <c r="W4218" s="2">
        <v>35.49</v>
      </c>
      <c r="X4218" s="5">
        <f t="shared" si="642"/>
        <v>0.17465116279069762</v>
      </c>
      <c r="Z4218" s="2" t="s">
        <v>3233</v>
      </c>
      <c r="AA4218" s="2" t="s">
        <v>72</v>
      </c>
      <c r="AB4218" s="2" t="s">
        <v>69</v>
      </c>
      <c r="AC4218" s="2" t="s">
        <v>3444</v>
      </c>
      <c r="AI4218" s="2"/>
      <c r="AK4218" s="2">
        <f t="shared" si="646"/>
        <v>7.509999999999998</v>
      </c>
      <c r="AL4218" s="5">
        <f t="shared" si="647"/>
        <v>0.17465116279069762</v>
      </c>
    </row>
    <row r="4219" spans="1:38" hidden="1" x14ac:dyDescent="0.2">
      <c r="A4219" s="8">
        <v>2026</v>
      </c>
      <c r="B4219" s="8">
        <v>6</v>
      </c>
      <c r="C4219" s="8" t="s">
        <v>3301</v>
      </c>
      <c r="D4219" s="2" t="s">
        <v>3115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2903</v>
      </c>
      <c r="Q4219" s="2" t="s">
        <v>3087</v>
      </c>
      <c r="R4219" s="2" t="s">
        <v>3088</v>
      </c>
      <c r="S4219" s="9">
        <v>1</v>
      </c>
      <c r="T4219" s="10">
        <v>198</v>
      </c>
      <c r="U4219" s="2">
        <f t="shared" si="644"/>
        <v>45.54</v>
      </c>
      <c r="V4219" s="2">
        <f t="shared" si="645"/>
        <v>243.54</v>
      </c>
      <c r="W4219" s="2">
        <v>148.5</v>
      </c>
      <c r="X4219" s="5">
        <f t="shared" si="642"/>
        <v>0.25</v>
      </c>
      <c r="Z4219" s="2" t="s">
        <v>3233</v>
      </c>
      <c r="AA4219" s="2" t="s">
        <v>72</v>
      </c>
      <c r="AB4219" s="2" t="s">
        <v>2903</v>
      </c>
      <c r="AC4219" s="2" t="s">
        <v>2903</v>
      </c>
      <c r="AI4219" s="2"/>
      <c r="AK4219" s="2">
        <f t="shared" ref="AK4219" si="648">T4219-W4219</f>
        <v>49.5</v>
      </c>
      <c r="AL4219" s="5">
        <f t="shared" ref="AL4219" si="649">(T4219-W4219)/T4219</f>
        <v>0.25</v>
      </c>
    </row>
    <row r="4220" spans="1:38" hidden="1" x14ac:dyDescent="0.2">
      <c r="A4220" s="8">
        <v>2026</v>
      </c>
      <c r="B4220" s="8">
        <v>6</v>
      </c>
      <c r="C4220" s="8" t="s">
        <v>3301</v>
      </c>
      <c r="D4220" s="2" t="s">
        <v>3115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40</v>
      </c>
      <c r="Q4220" s="2" t="s">
        <v>3089</v>
      </c>
      <c r="R4220" s="2" t="s">
        <v>3090</v>
      </c>
      <c r="S4220" s="9">
        <v>1</v>
      </c>
      <c r="T4220" s="10">
        <v>3000</v>
      </c>
      <c r="U4220" s="2">
        <f>T4220*23%</f>
        <v>690</v>
      </c>
      <c r="V4220" s="10">
        <f>T4220+U4220</f>
        <v>3690</v>
      </c>
      <c r="W4220" s="2">
        <f>T4220*75%</f>
        <v>2250</v>
      </c>
      <c r="X4220" s="5">
        <f t="shared" si="642"/>
        <v>0.25</v>
      </c>
      <c r="Z4220" s="2" t="s">
        <v>105</v>
      </c>
      <c r="AA4220" s="2" t="s">
        <v>415</v>
      </c>
      <c r="AB4220" s="2" t="s">
        <v>476</v>
      </c>
      <c r="AC4220" s="2" t="s">
        <v>115</v>
      </c>
      <c r="AI4220" s="2"/>
      <c r="AK4220" s="2">
        <f t="shared" ref="AK4220" si="650">T4220-W4220</f>
        <v>750</v>
      </c>
      <c r="AL4220" s="5">
        <f t="shared" ref="AL4220" si="651">(T4220-W4220)/T4220</f>
        <v>0.25</v>
      </c>
    </row>
    <row r="4221" spans="1:38" hidden="1" x14ac:dyDescent="0.2">
      <c r="A4221" s="8">
        <v>2026</v>
      </c>
      <c r="B4221" s="8">
        <v>6</v>
      </c>
      <c r="C4221" s="8"/>
      <c r="D4221" s="2" t="s">
        <v>2053</v>
      </c>
      <c r="P4221" s="2" t="s">
        <v>1040</v>
      </c>
      <c r="Q4221" s="2" t="s">
        <v>3091</v>
      </c>
      <c r="R4221" s="2" t="s">
        <v>3092</v>
      </c>
      <c r="S4221" s="9">
        <v>1</v>
      </c>
      <c r="T4221" s="10">
        <v>240</v>
      </c>
      <c r="U4221" s="2">
        <f>T4221*23%</f>
        <v>55.2</v>
      </c>
      <c r="V4221" s="2">
        <f>T4221+U4221</f>
        <v>295.2</v>
      </c>
      <c r="W4221" s="2">
        <v>128.99</v>
      </c>
      <c r="X4221" s="5">
        <f>(T4221-W4221)/T4221</f>
        <v>0.46254166666666663</v>
      </c>
      <c r="Z4221" s="2" t="s">
        <v>3233</v>
      </c>
      <c r="AA4221" s="2" t="s">
        <v>76</v>
      </c>
      <c r="AB4221" s="2" t="s">
        <v>77</v>
      </c>
      <c r="AC4221" s="2" t="s">
        <v>1040</v>
      </c>
      <c r="AF4221" s="2">
        <f>AJ4221</f>
        <v>0</v>
      </c>
      <c r="AI4221" s="2"/>
      <c r="AJ4221" s="2">
        <f>AI4221*T4221</f>
        <v>0</v>
      </c>
      <c r="AK4221" s="2">
        <f t="shared" ref="AK4221:AK4226" si="652">T4221-W4221</f>
        <v>111.00999999999999</v>
      </c>
      <c r="AL4221" s="5">
        <f t="shared" ref="AL4221:AL4226" si="653">(T4221-W4221)/T4221</f>
        <v>0.46254166666666663</v>
      </c>
    </row>
    <row r="4222" spans="1:38" hidden="1" x14ac:dyDescent="0.2">
      <c r="A4222" s="8">
        <v>2026</v>
      </c>
      <c r="B4222" s="8">
        <v>6</v>
      </c>
      <c r="C4222" s="8"/>
      <c r="D4222" s="2" t="s">
        <v>2053</v>
      </c>
      <c r="P4222" s="2" t="s">
        <v>170</v>
      </c>
      <c r="Q4222" s="2" t="s">
        <v>171</v>
      </c>
      <c r="R4222" s="2" t="s">
        <v>171</v>
      </c>
      <c r="S4222" s="9">
        <v>1</v>
      </c>
      <c r="T4222" s="10">
        <v>30</v>
      </c>
      <c r="U4222" s="2">
        <f>T4222*23%</f>
        <v>6.9</v>
      </c>
      <c r="V4222" s="10">
        <f>T4222+U4222</f>
        <v>36.9</v>
      </c>
      <c r="W4222" s="2">
        <v>28</v>
      </c>
      <c r="X4222" s="5">
        <f t="shared" ref="X4222" si="654">(T4222-W4222)/T4222</f>
        <v>6.6666666666666666E-2</v>
      </c>
      <c r="Z4222" s="2" t="s">
        <v>170</v>
      </c>
      <c r="AA4222" s="2" t="s">
        <v>170</v>
      </c>
      <c r="AI4222" s="2"/>
      <c r="AK4222" s="2">
        <f t="shared" si="652"/>
        <v>2</v>
      </c>
      <c r="AL4222" s="5">
        <f t="shared" si="653"/>
        <v>6.6666666666666666E-2</v>
      </c>
    </row>
    <row r="4223" spans="1:38" hidden="1" x14ac:dyDescent="0.2">
      <c r="A4223" s="8">
        <v>2026</v>
      </c>
      <c r="B4223" s="8">
        <v>6</v>
      </c>
      <c r="C4223" s="8"/>
      <c r="D4223" s="2" t="s">
        <v>2053</v>
      </c>
      <c r="P4223" s="2" t="s">
        <v>94</v>
      </c>
      <c r="Q4223" s="2" t="s">
        <v>95</v>
      </c>
      <c r="R4223" s="2" t="s">
        <v>96</v>
      </c>
      <c r="S4223" s="9">
        <v>1</v>
      </c>
      <c r="T4223" s="10">
        <v>1.48</v>
      </c>
      <c r="U4223" s="2">
        <f>T4223*23%</f>
        <v>0.34040000000000004</v>
      </c>
      <c r="V4223" s="10">
        <f>T4223+U4223</f>
        <v>1.8204</v>
      </c>
      <c r="W4223" s="2">
        <f>1.48*S4223</f>
        <v>1.48</v>
      </c>
      <c r="X4223" s="5">
        <f>(T4223-W4223)/T4223</f>
        <v>0</v>
      </c>
      <c r="Z4223" s="2" t="s">
        <v>3233</v>
      </c>
      <c r="AA4223" s="2" t="s">
        <v>97</v>
      </c>
      <c r="AB4223" s="2" t="s">
        <v>77</v>
      </c>
      <c r="AC4223" s="2" t="s">
        <v>94</v>
      </c>
      <c r="AF4223" s="2">
        <f>AJ4223</f>
        <v>0</v>
      </c>
      <c r="AG4223" s="2">
        <v>1.48</v>
      </c>
      <c r="AH4223" s="2">
        <v>1.48</v>
      </c>
      <c r="AI4223" s="2"/>
      <c r="AJ4223" s="2">
        <f>AI4223*T4223</f>
        <v>0</v>
      </c>
      <c r="AK4223" s="2">
        <f t="shared" si="652"/>
        <v>0</v>
      </c>
      <c r="AL4223" s="5">
        <f t="shared" si="653"/>
        <v>0</v>
      </c>
    </row>
    <row r="4224" spans="1:38" hidden="1" x14ac:dyDescent="0.2">
      <c r="A4224" s="8">
        <v>2026</v>
      </c>
      <c r="B4224" s="8">
        <v>6</v>
      </c>
      <c r="C4224" s="8"/>
      <c r="D4224" s="2" t="s">
        <v>2055</v>
      </c>
      <c r="P4224" s="2" t="s">
        <v>115</v>
      </c>
      <c r="Q4224" s="2" t="s">
        <v>2287</v>
      </c>
      <c r="R4224" s="2" t="s">
        <v>2288</v>
      </c>
      <c r="S4224" s="9">
        <v>1</v>
      </c>
      <c r="T4224" s="10">
        <v>278.67</v>
      </c>
      <c r="U4224" s="2">
        <f>T4224*23%</f>
        <v>64.094100000000012</v>
      </c>
      <c r="V4224" s="2">
        <f>T4224+U4224</f>
        <v>342.76410000000004</v>
      </c>
      <c r="W4224" s="2">
        <f>134.41</f>
        <v>134.41</v>
      </c>
      <c r="X4224" s="5">
        <f>(T4224-W4224)/T4224</f>
        <v>0.51767323357376116</v>
      </c>
      <c r="Z4224" s="2" t="s">
        <v>118</v>
      </c>
      <c r="AA4224" s="2" t="s">
        <v>119</v>
      </c>
      <c r="AB4224" s="2" t="s">
        <v>120</v>
      </c>
      <c r="AC4224" s="2" t="s">
        <v>115</v>
      </c>
      <c r="AI4224" s="2"/>
      <c r="AK4224" s="2">
        <f t="shared" si="652"/>
        <v>144.26000000000002</v>
      </c>
      <c r="AL4224" s="2">
        <f t="shared" si="653"/>
        <v>0.51767323357376116</v>
      </c>
    </row>
    <row r="4225" spans="1:38" hidden="1" x14ac:dyDescent="0.2">
      <c r="A4225" s="8">
        <v>2026</v>
      </c>
      <c r="B4225" s="8">
        <v>6</v>
      </c>
      <c r="C4225" s="8"/>
      <c r="D4225" s="2" t="s">
        <v>2055</v>
      </c>
      <c r="M4225" s="2" t="s">
        <v>40</v>
      </c>
      <c r="P4225" s="2" t="s">
        <v>188</v>
      </c>
      <c r="Q4225" s="2" t="s">
        <v>189</v>
      </c>
      <c r="R4225" s="2" t="s">
        <v>190</v>
      </c>
      <c r="S4225" s="9">
        <v>1</v>
      </c>
      <c r="T4225" s="10">
        <v>147</v>
      </c>
      <c r="U4225" s="2">
        <f t="shared" ref="U4225:U4230" si="655">T4225*23%</f>
        <v>33.81</v>
      </c>
      <c r="V4225" s="2">
        <f t="shared" ref="V4225:V4230" si="656">T4225+U4225</f>
        <v>180.81</v>
      </c>
      <c r="W4225" s="2">
        <f>T4225*40%</f>
        <v>58.800000000000004</v>
      </c>
      <c r="X4225" s="5">
        <f>(T4225-W4225)/T4225</f>
        <v>0.6</v>
      </c>
      <c r="Z4225" s="2" t="s">
        <v>118</v>
      </c>
      <c r="AA4225" s="2" t="s">
        <v>191</v>
      </c>
      <c r="AB4225" s="2" t="s">
        <v>190</v>
      </c>
      <c r="AC4225" s="2" t="s">
        <v>40</v>
      </c>
      <c r="AG4225" s="2">
        <f>W4225</f>
        <v>58.800000000000004</v>
      </c>
      <c r="AI4225" s="2"/>
      <c r="AJ4225" s="2">
        <f>AI4225*T4225</f>
        <v>0</v>
      </c>
      <c r="AK4225" s="2">
        <f t="shared" si="652"/>
        <v>88.199999999999989</v>
      </c>
      <c r="AL4225" s="5">
        <f t="shared" si="653"/>
        <v>0.6</v>
      </c>
    </row>
    <row r="4226" spans="1:38" hidden="1" x14ac:dyDescent="0.2">
      <c r="A4226" s="8">
        <v>2026</v>
      </c>
      <c r="B4226" s="8">
        <v>6</v>
      </c>
      <c r="C4226" s="8"/>
      <c r="D4226" s="2" t="s">
        <v>2055</v>
      </c>
      <c r="M4226" s="2" t="s">
        <v>40</v>
      </c>
      <c r="P4226" s="2" t="s">
        <v>188</v>
      </c>
      <c r="Q4226" s="2" t="s">
        <v>192</v>
      </c>
      <c r="R4226" s="2" t="s">
        <v>191</v>
      </c>
      <c r="S4226" s="9">
        <v>2</v>
      </c>
      <c r="T4226" s="10">
        <v>110</v>
      </c>
      <c r="U4226" s="2">
        <f t="shared" si="655"/>
        <v>25.3</v>
      </c>
      <c r="V4226" s="2">
        <f t="shared" si="656"/>
        <v>135.30000000000001</v>
      </c>
      <c r="W4226" s="2">
        <f>T4226*50%</f>
        <v>55</v>
      </c>
      <c r="X4226" s="5">
        <f>(T4226-W4226)/T4226</f>
        <v>0.5</v>
      </c>
      <c r="Z4226" s="2" t="s">
        <v>118</v>
      </c>
      <c r="AA4226" s="2" t="s">
        <v>191</v>
      </c>
      <c r="AB4226" s="2" t="s">
        <v>191</v>
      </c>
      <c r="AC4226" s="2" t="s">
        <v>40</v>
      </c>
      <c r="AF4226" s="2">
        <f>AJ4226</f>
        <v>0</v>
      </c>
      <c r="AG4226" s="2">
        <f>W4226</f>
        <v>55</v>
      </c>
      <c r="AI4226" s="2"/>
      <c r="AJ4226" s="2">
        <f>AI4226*T4226</f>
        <v>0</v>
      </c>
      <c r="AK4226" s="2">
        <f t="shared" si="652"/>
        <v>55</v>
      </c>
      <c r="AL4226" s="5">
        <f t="shared" si="653"/>
        <v>0.5</v>
      </c>
    </row>
    <row r="4227" spans="1:38" hidden="1" x14ac:dyDescent="0.2">
      <c r="A4227" s="8">
        <v>2026</v>
      </c>
      <c r="B4227" s="8">
        <v>6</v>
      </c>
      <c r="C4227" s="8" t="s">
        <v>3455</v>
      </c>
      <c r="D4227" s="2" t="s">
        <v>2910</v>
      </c>
      <c r="F4227" s="2" t="s">
        <v>3453</v>
      </c>
      <c r="L4227" s="2" t="s">
        <v>100</v>
      </c>
      <c r="M4227" s="2" t="s">
        <v>81</v>
      </c>
      <c r="P4227" s="2" t="s">
        <v>283</v>
      </c>
      <c r="Q4227" s="2" t="s">
        <v>402</v>
      </c>
      <c r="R4227" s="2" t="s">
        <v>403</v>
      </c>
      <c r="S4227" s="9">
        <v>2</v>
      </c>
      <c r="T4227" s="10">
        <v>58</v>
      </c>
      <c r="U4227" s="2">
        <f t="shared" si="655"/>
        <v>13.34</v>
      </c>
      <c r="V4227" s="2">
        <f t="shared" si="656"/>
        <v>71.34</v>
      </c>
      <c r="W4227" s="2">
        <f t="shared" ref="W4227" si="657">14.5099*S4227</f>
        <v>29.0198</v>
      </c>
      <c r="X4227" s="5">
        <f t="shared" ref="X4227" si="658">(T4227-W4227)/T4227</f>
        <v>0.49965862068965516</v>
      </c>
      <c r="Z4227" s="2" t="s">
        <v>3233</v>
      </c>
      <c r="AA4227" s="2" t="s">
        <v>46</v>
      </c>
      <c r="AB4227" s="2" t="s">
        <v>61</v>
      </c>
      <c r="AC4227" s="2" t="s">
        <v>3339</v>
      </c>
      <c r="AI4227" s="2"/>
      <c r="AK4227" s="2">
        <f t="shared" ref="AK4227" si="659">T4227-W4227</f>
        <v>28.9802</v>
      </c>
      <c r="AL4227" s="5">
        <f t="shared" ref="AL4227" si="660">(T4227-W4227)/T4227</f>
        <v>0.49965862068965516</v>
      </c>
    </row>
    <row r="4228" spans="1:38" hidden="1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P4228" s="2" t="s">
        <v>73</v>
      </c>
      <c r="Q4228" s="2" t="s">
        <v>74</v>
      </c>
      <c r="R4228" s="2" t="s">
        <v>75</v>
      </c>
      <c r="S4228" s="9">
        <v>1</v>
      </c>
      <c r="T4228" s="10">
        <v>219.88</v>
      </c>
      <c r="U4228" s="2">
        <f t="shared" si="655"/>
        <v>50.572400000000002</v>
      </c>
      <c r="V4228" s="10">
        <f t="shared" si="656"/>
        <v>270.45240000000001</v>
      </c>
      <c r="W4228" s="2">
        <v>125.51600000000001</v>
      </c>
      <c r="X4228" s="5">
        <f>(T4228-W4228)/T4228</f>
        <v>0.429161360742223</v>
      </c>
      <c r="Z4228" s="2" t="s">
        <v>3233</v>
      </c>
      <c r="AA4228" s="2" t="s">
        <v>76</v>
      </c>
      <c r="AB4228" s="2" t="s">
        <v>77</v>
      </c>
      <c r="AC4228" s="2" t="s">
        <v>78</v>
      </c>
      <c r="AF4228" s="2">
        <f>AJ4228</f>
        <v>0</v>
      </c>
      <c r="AG4228" s="2">
        <v>125.51600000000001</v>
      </c>
      <c r="AH4228" s="2">
        <v>220</v>
      </c>
      <c r="AI4228" s="2"/>
      <c r="AJ4228" s="2">
        <f>AI4228*T4228</f>
        <v>0</v>
      </c>
      <c r="AK4228" s="2">
        <f>T4228-W4228</f>
        <v>94.36399999999999</v>
      </c>
      <c r="AL4228" s="5">
        <f>(T4228-W4228)/T4228</f>
        <v>0.429161360742223</v>
      </c>
    </row>
    <row r="4229" spans="1:38" hidden="1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O4229" s="2" t="s">
        <v>3162</v>
      </c>
      <c r="P4229" s="2" t="s">
        <v>1040</v>
      </c>
      <c r="Q4229" s="2" t="s">
        <v>1839</v>
      </c>
      <c r="R4229" s="2" t="s">
        <v>1840</v>
      </c>
      <c r="S4229" s="9">
        <v>1</v>
      </c>
      <c r="T4229" s="10">
        <v>269.56</v>
      </c>
      <c r="U4229" s="2">
        <f t="shared" si="655"/>
        <v>61.998800000000003</v>
      </c>
      <c r="V4229" s="2">
        <f t="shared" si="656"/>
        <v>331.55880000000002</v>
      </c>
      <c r="W4229" s="2">
        <v>157.85</v>
      </c>
      <c r="X4229" s="5">
        <f>(T4229-W4229)/T4229</f>
        <v>0.4144160854726221</v>
      </c>
      <c r="Z4229" s="2" t="s">
        <v>3233</v>
      </c>
      <c r="AA4229" s="2" t="s">
        <v>76</v>
      </c>
      <c r="AB4229" s="2" t="s">
        <v>77</v>
      </c>
      <c r="AC4229" s="2" t="s">
        <v>1040</v>
      </c>
      <c r="AF4229" s="2">
        <f>AJ4229</f>
        <v>0</v>
      </c>
      <c r="AG4229" s="2">
        <v>157.85</v>
      </c>
      <c r="AI4229" s="2"/>
      <c r="AJ4229" s="2">
        <f>AI4229*T4229</f>
        <v>0</v>
      </c>
      <c r="AK4229" s="2">
        <f>T4229-W4229</f>
        <v>111.71000000000001</v>
      </c>
      <c r="AL4229" s="5">
        <f>(T4229-W4229)/T4229</f>
        <v>0.4144160854726221</v>
      </c>
    </row>
    <row r="4230" spans="1:38" hidden="1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40</v>
      </c>
      <c r="P4230" s="2" t="s">
        <v>40</v>
      </c>
      <c r="Q4230" s="2" t="s">
        <v>141</v>
      </c>
      <c r="R4230" s="2" t="s">
        <v>142</v>
      </c>
      <c r="S4230" s="9">
        <v>-1</v>
      </c>
      <c r="T4230" s="10">
        <v>-20.65</v>
      </c>
      <c r="U4230" s="2">
        <f t="shared" si="655"/>
        <v>-4.7495000000000003</v>
      </c>
      <c r="V4230" s="10">
        <f t="shared" si="656"/>
        <v>-25.3995</v>
      </c>
      <c r="Z4230" s="2" t="s">
        <v>120</v>
      </c>
      <c r="AA4230" s="2" t="s">
        <v>143</v>
      </c>
      <c r="AI4230" s="2"/>
    </row>
    <row r="4231" spans="1:38" hidden="1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81</v>
      </c>
      <c r="P4231" s="2" t="s">
        <v>94</v>
      </c>
      <c r="Q4231" s="2" t="s">
        <v>95</v>
      </c>
      <c r="R4231" s="2" t="s">
        <v>96</v>
      </c>
      <c r="S4231" s="9">
        <v>2</v>
      </c>
      <c r="T4231" s="10">
        <v>2.96</v>
      </c>
      <c r="U4231" s="2">
        <f t="shared" ref="U4231:U4236" si="661">T4231*23%</f>
        <v>0.68080000000000007</v>
      </c>
      <c r="V4231" s="10">
        <f t="shared" ref="V4231:V4236" si="662">T4231+U4231</f>
        <v>3.6408</v>
      </c>
      <c r="W4231" s="2">
        <f>1.48*S4231</f>
        <v>2.96</v>
      </c>
      <c r="X4231" s="5">
        <f t="shared" ref="X4231:X4236" si="663">(T4231-W4231)/T4231</f>
        <v>0</v>
      </c>
      <c r="Z4231" s="2" t="s">
        <v>3233</v>
      </c>
      <c r="AA4231" s="2" t="s">
        <v>97</v>
      </c>
      <c r="AB4231" s="2" t="s">
        <v>77</v>
      </c>
      <c r="AC4231" s="2" t="s">
        <v>94</v>
      </c>
      <c r="AF4231" s="2">
        <f>AJ4231</f>
        <v>0</v>
      </c>
      <c r="AG4231" s="2">
        <v>1.48</v>
      </c>
      <c r="AH4231" s="2">
        <v>1.48</v>
      </c>
      <c r="AI4231" s="2"/>
      <c r="AJ4231" s="2">
        <f>AI4231*T4231</f>
        <v>0</v>
      </c>
      <c r="AK4231" s="2">
        <f>T4231-W4231</f>
        <v>0</v>
      </c>
      <c r="AL4231" s="5">
        <f>(T4231-W4231)/T4231</f>
        <v>0</v>
      </c>
    </row>
    <row r="4232" spans="1:38" hidden="1" x14ac:dyDescent="0.2">
      <c r="A4232" s="8">
        <v>2026</v>
      </c>
      <c r="B4232" s="8">
        <v>6</v>
      </c>
      <c r="C4232" s="8"/>
      <c r="D4232" s="2" t="s">
        <v>2532</v>
      </c>
      <c r="P4232" s="2" t="s">
        <v>43</v>
      </c>
      <c r="Q4232" s="2" t="s">
        <v>219</v>
      </c>
      <c r="R4232" s="2" t="s">
        <v>220</v>
      </c>
      <c r="S4232" s="9">
        <v>1</v>
      </c>
      <c r="T4232" s="10">
        <v>23.4</v>
      </c>
      <c r="U4232" s="2">
        <f t="shared" si="661"/>
        <v>5.3819999999999997</v>
      </c>
      <c r="V4232" s="10">
        <f t="shared" si="662"/>
        <v>28.781999999999996</v>
      </c>
      <c r="W4232" s="2">
        <v>12.4434</v>
      </c>
      <c r="X4232" s="5">
        <f t="shared" si="663"/>
        <v>0.46823076923076917</v>
      </c>
      <c r="Z4232" s="2" t="s">
        <v>3233</v>
      </c>
      <c r="AA4232" s="2" t="s">
        <v>46</v>
      </c>
      <c r="AB4232" s="2" t="s">
        <v>57</v>
      </c>
      <c r="AC4232" s="2" t="s">
        <v>58</v>
      </c>
      <c r="AI4232" s="2"/>
      <c r="AK4232" s="2">
        <f t="shared" ref="AK4232" si="664">T4232-W4232</f>
        <v>10.956599999999998</v>
      </c>
      <c r="AL4232" s="5">
        <f t="shared" ref="AL4232" si="665">(T4232-W4232)/T4232</f>
        <v>0.46823076923076917</v>
      </c>
    </row>
    <row r="4233" spans="1:38" hidden="1" x14ac:dyDescent="0.2">
      <c r="A4233" s="8">
        <v>2026</v>
      </c>
      <c r="B4233" s="8">
        <v>6</v>
      </c>
      <c r="C4233" s="8"/>
      <c r="D4233" s="2" t="s">
        <v>2532</v>
      </c>
      <c r="P4233" s="2" t="s">
        <v>43</v>
      </c>
      <c r="Q4233" s="2" t="s">
        <v>223</v>
      </c>
      <c r="R4233" s="2" t="s">
        <v>224</v>
      </c>
      <c r="S4233" s="9">
        <v>1</v>
      </c>
      <c r="T4233" s="10">
        <v>30</v>
      </c>
      <c r="U4233" s="2">
        <f t="shared" si="661"/>
        <v>6.9</v>
      </c>
      <c r="V4233" s="10">
        <f t="shared" si="662"/>
        <v>36.9</v>
      </c>
      <c r="X4233" s="5">
        <f t="shared" si="663"/>
        <v>1</v>
      </c>
      <c r="Z4233" s="2" t="s">
        <v>3233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hidden="1" x14ac:dyDescent="0.2">
      <c r="A4234" s="8">
        <v>2026</v>
      </c>
      <c r="B4234" s="8">
        <v>6</v>
      </c>
      <c r="C4234" s="8"/>
      <c r="D4234" s="2" t="s">
        <v>2532</v>
      </c>
      <c r="P4234" s="2" t="s">
        <v>43</v>
      </c>
      <c r="Q4234" s="2" t="s">
        <v>239</v>
      </c>
      <c r="R4234" s="2" t="s">
        <v>240</v>
      </c>
      <c r="S4234" s="9">
        <v>1</v>
      </c>
      <c r="T4234" s="10">
        <v>21</v>
      </c>
      <c r="U4234" s="2">
        <f t="shared" si="661"/>
        <v>4.83</v>
      </c>
      <c r="V4234" s="10">
        <f t="shared" si="662"/>
        <v>25.83</v>
      </c>
      <c r="X4234" s="5">
        <f t="shared" si="663"/>
        <v>1</v>
      </c>
      <c r="Z4234" s="2" t="s">
        <v>3233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hidden="1" x14ac:dyDescent="0.2">
      <c r="A4235" s="8">
        <v>2026</v>
      </c>
      <c r="B4235" s="8">
        <v>6</v>
      </c>
      <c r="C4235" s="8"/>
      <c r="D4235" s="2" t="s">
        <v>2532</v>
      </c>
      <c r="P4235" s="2" t="s">
        <v>43</v>
      </c>
      <c r="Q4235" s="2" t="s">
        <v>62</v>
      </c>
      <c r="R4235" s="2" t="s">
        <v>63</v>
      </c>
      <c r="S4235" s="9">
        <v>300</v>
      </c>
      <c r="T4235" s="10">
        <v>39</v>
      </c>
      <c r="U4235" s="2">
        <f t="shared" si="661"/>
        <v>8.9700000000000006</v>
      </c>
      <c r="V4235" s="10">
        <f t="shared" si="662"/>
        <v>47.97</v>
      </c>
      <c r="W4235" s="2">
        <f>0.082*S4235</f>
        <v>24.6</v>
      </c>
      <c r="X4235" s="5">
        <f t="shared" si="663"/>
        <v>0.3692307692307692</v>
      </c>
      <c r="Z4235" s="2" t="s">
        <v>3233</v>
      </c>
      <c r="AA4235" s="2" t="s">
        <v>46</v>
      </c>
      <c r="AB4235" s="2" t="s">
        <v>61</v>
      </c>
      <c r="AC4235" s="2" t="s">
        <v>58</v>
      </c>
      <c r="AI4235" s="2"/>
      <c r="AK4235" s="2">
        <f t="shared" ref="AK4235" si="666">T4235-W4235</f>
        <v>14.399999999999999</v>
      </c>
      <c r="AL4235" s="5">
        <f t="shared" ref="AL4235" si="667">(T4235-W4235)/T4235</f>
        <v>0.3692307692307692</v>
      </c>
    </row>
    <row r="4236" spans="1:38" hidden="1" x14ac:dyDescent="0.2">
      <c r="A4236" s="8">
        <v>2026</v>
      </c>
      <c r="B4236" s="8">
        <v>6</v>
      </c>
      <c r="C4236" s="8"/>
      <c r="D4236" s="2" t="s">
        <v>2532</v>
      </c>
      <c r="P4236" s="2" t="s">
        <v>43</v>
      </c>
      <c r="Q4236" s="2" t="s">
        <v>2973</v>
      </c>
      <c r="R4236" s="2" t="s">
        <v>2974</v>
      </c>
      <c r="S4236" s="9">
        <v>2</v>
      </c>
      <c r="T4236" s="10">
        <v>36</v>
      </c>
      <c r="U4236" s="2">
        <f t="shared" si="661"/>
        <v>8.2800000000000011</v>
      </c>
      <c r="V4236" s="10">
        <f t="shared" si="662"/>
        <v>44.28</v>
      </c>
      <c r="X4236" s="5">
        <f t="shared" si="663"/>
        <v>1</v>
      </c>
      <c r="Z4236" s="2" t="s">
        <v>3233</v>
      </c>
      <c r="AA4236" s="2" t="s">
        <v>46</v>
      </c>
      <c r="AB4236" s="2" t="s">
        <v>57</v>
      </c>
      <c r="AC4236" s="2" t="s">
        <v>58</v>
      </c>
      <c r="AI4236" s="2"/>
      <c r="AL4236" s="2"/>
    </row>
    <row r="4237" spans="1:38" hidden="1" x14ac:dyDescent="0.2">
      <c r="A4237" s="8">
        <v>2026</v>
      </c>
      <c r="B4237" s="8">
        <v>6</v>
      </c>
      <c r="C4237" s="8"/>
      <c r="D4237" s="2" t="s">
        <v>2532</v>
      </c>
      <c r="P4237" s="2" t="s">
        <v>40</v>
      </c>
      <c r="Q4237" s="2" t="s">
        <v>1311</v>
      </c>
      <c r="R4237" s="2" t="s">
        <v>1312</v>
      </c>
      <c r="S4237" s="9">
        <v>1</v>
      </c>
      <c r="T4237" s="10">
        <v>0</v>
      </c>
      <c r="U4237" s="2">
        <v>0</v>
      </c>
      <c r="V4237" s="2">
        <v>0</v>
      </c>
      <c r="X4237" s="2"/>
      <c r="Z4237" s="2" t="s">
        <v>118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1274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1275</v>
      </c>
      <c r="J4238" s="2" t="s">
        <v>1276</v>
      </c>
      <c r="L4238" s="2" t="s">
        <v>178</v>
      </c>
      <c r="M4238" s="2" t="s">
        <v>41</v>
      </c>
      <c r="O4238" s="2" t="s">
        <v>3166</v>
      </c>
      <c r="P4238" s="2" t="s">
        <v>1040</v>
      </c>
      <c r="Q4238" s="2" t="s">
        <v>3093</v>
      </c>
      <c r="R4238" s="2" t="s">
        <v>3094</v>
      </c>
      <c r="S4238" s="9">
        <v>1</v>
      </c>
      <c r="T4238" s="10">
        <v>270</v>
      </c>
      <c r="U4238" s="2">
        <f t="shared" ref="U4238:U4244" si="668">T4238*23%</f>
        <v>62.1</v>
      </c>
      <c r="V4238" s="2">
        <f t="shared" ref="V4238:V4244" si="669">T4238+U4238</f>
        <v>332.1</v>
      </c>
      <c r="W4238" s="2">
        <v>141.16</v>
      </c>
      <c r="X4238" s="5">
        <f t="shared" ref="X4238:X4249" si="670">(T4238-W4238)/T4238</f>
        <v>0.47718518518518521</v>
      </c>
      <c r="Z4238" s="2" t="s">
        <v>3233</v>
      </c>
      <c r="AA4238" s="2" t="s">
        <v>76</v>
      </c>
      <c r="AB4238" s="2" t="s">
        <v>77</v>
      </c>
      <c r="AC4238" s="2" t="s">
        <v>1040</v>
      </c>
      <c r="AF4238" s="2">
        <f>AJ4238</f>
        <v>0</v>
      </c>
      <c r="AG4238" s="2">
        <v>141.16</v>
      </c>
      <c r="AI4238" s="2"/>
      <c r="AJ4238" s="2">
        <f>AI4238*T4238</f>
        <v>0</v>
      </c>
      <c r="AK4238" s="2">
        <f>T4238-W4238</f>
        <v>128.84</v>
      </c>
      <c r="AL4238" s="5">
        <f>(T4238-W4238)/T4238</f>
        <v>0.47718518518518521</v>
      </c>
    </row>
    <row r="4239" spans="1:38" hidden="1" x14ac:dyDescent="0.2">
      <c r="A4239" s="8">
        <v>2026</v>
      </c>
      <c r="B4239" s="8">
        <v>6</v>
      </c>
      <c r="C4239" s="8"/>
      <c r="D4239" s="2" t="s">
        <v>1274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1275</v>
      </c>
      <c r="J4239" s="2" t="s">
        <v>1276</v>
      </c>
      <c r="L4239" s="2" t="s">
        <v>178</v>
      </c>
      <c r="P4239" s="2" t="s">
        <v>94</v>
      </c>
      <c r="Q4239" s="2" t="s">
        <v>95</v>
      </c>
      <c r="R4239" s="2" t="s">
        <v>96</v>
      </c>
      <c r="S4239" s="9">
        <v>1</v>
      </c>
      <c r="T4239" s="10">
        <v>1.48</v>
      </c>
      <c r="U4239" s="2">
        <f t="shared" si="668"/>
        <v>0.34040000000000004</v>
      </c>
      <c r="V4239" s="10">
        <f t="shared" si="669"/>
        <v>1.8204</v>
      </c>
      <c r="W4239" s="2">
        <f>1.48*S4239</f>
        <v>1.48</v>
      </c>
      <c r="X4239" s="5">
        <f t="shared" si="670"/>
        <v>0</v>
      </c>
      <c r="Z4239" s="2" t="s">
        <v>3233</v>
      </c>
      <c r="AA4239" s="2" t="s">
        <v>97</v>
      </c>
      <c r="AB4239" s="2" t="s">
        <v>77</v>
      </c>
      <c r="AC4239" s="2" t="s">
        <v>94</v>
      </c>
      <c r="AF4239" s="2">
        <f>AJ4239</f>
        <v>0</v>
      </c>
      <c r="AG4239" s="2">
        <v>1.48</v>
      </c>
      <c r="AH4239" s="2">
        <v>1.48</v>
      </c>
      <c r="AI4239" s="2"/>
      <c r="AJ4239" s="2">
        <f>AI4239*T4239</f>
        <v>0</v>
      </c>
      <c r="AK4239" s="2">
        <f>T4239-W4239</f>
        <v>0</v>
      </c>
      <c r="AL4239" s="5">
        <f>(T4239-W4239)/T4239</f>
        <v>0</v>
      </c>
    </row>
    <row r="4240" spans="1:38" hidden="1" x14ac:dyDescent="0.2">
      <c r="A4240" s="8">
        <v>2026</v>
      </c>
      <c r="B4240" s="8">
        <v>6</v>
      </c>
      <c r="C4240" s="8"/>
      <c r="D4240" s="2" t="s">
        <v>3114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68"/>
        <v>572.70000000000005</v>
      </c>
      <c r="V4240" s="10">
        <f t="shared" si="669"/>
        <v>3062.7</v>
      </c>
      <c r="W4240" s="2">
        <f>1970.05+49</f>
        <v>2019.05</v>
      </c>
      <c r="X4240" s="5">
        <f t="shared" si="670"/>
        <v>0.18913654618473896</v>
      </c>
      <c r="Z4240" s="2" t="s">
        <v>105</v>
      </c>
      <c r="AA4240" s="2" t="s">
        <v>388</v>
      </c>
      <c r="AB4240" s="2" t="s">
        <v>1333</v>
      </c>
      <c r="AC4240" s="2" t="s">
        <v>1330</v>
      </c>
      <c r="AI4240" s="2"/>
      <c r="AL4240" s="2"/>
    </row>
    <row r="4241" spans="1:38" hidden="1" x14ac:dyDescent="0.2">
      <c r="A4241" s="8">
        <v>2026</v>
      </c>
      <c r="B4241" s="8">
        <v>6</v>
      </c>
      <c r="C4241" s="8"/>
      <c r="D4241" s="2" t="s">
        <v>3114</v>
      </c>
      <c r="P4241" s="2" t="s">
        <v>283</v>
      </c>
      <c r="Q4241" s="2" t="s">
        <v>3097</v>
      </c>
      <c r="R4241" s="2" t="s">
        <v>3098</v>
      </c>
      <c r="S4241" s="9">
        <v>1</v>
      </c>
      <c r="T4241" s="10">
        <v>2490</v>
      </c>
      <c r="U4241" s="2">
        <f t="shared" si="668"/>
        <v>572.70000000000005</v>
      </c>
      <c r="V4241" s="10">
        <f t="shared" si="669"/>
        <v>3062.7</v>
      </c>
      <c r="W4241" s="2">
        <f>1995.2+43.97</f>
        <v>2039.17</v>
      </c>
      <c r="X4241" s="5">
        <f t="shared" si="670"/>
        <v>0.18105622489959836</v>
      </c>
      <c r="Z4241" s="2" t="s">
        <v>105</v>
      </c>
      <c r="AA4241" s="2" t="s">
        <v>388</v>
      </c>
      <c r="AB4241" s="2" t="s">
        <v>1333</v>
      </c>
      <c r="AC4241" s="2" t="s">
        <v>1330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2914</v>
      </c>
      <c r="P4242" s="2" t="s">
        <v>115</v>
      </c>
      <c r="Q4242" s="2" t="s">
        <v>780</v>
      </c>
      <c r="R4242" s="2" t="s">
        <v>781</v>
      </c>
      <c r="S4242" s="9">
        <v>2</v>
      </c>
      <c r="T4242" s="10">
        <v>157.18</v>
      </c>
      <c r="U4242" s="2">
        <f t="shared" si="668"/>
        <v>36.151400000000002</v>
      </c>
      <c r="V4242" s="10">
        <f t="shared" si="669"/>
        <v>193.3314</v>
      </c>
      <c r="X4242" s="5">
        <f t="shared" si="670"/>
        <v>1</v>
      </c>
      <c r="Z4242" s="2" t="s">
        <v>118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2914</v>
      </c>
      <c r="P4243" s="2" t="s">
        <v>115</v>
      </c>
      <c r="Q4243" s="2" t="s">
        <v>562</v>
      </c>
      <c r="R4243" s="2" t="s">
        <v>563</v>
      </c>
      <c r="S4243" s="9">
        <v>2</v>
      </c>
      <c r="T4243" s="10">
        <v>28.57</v>
      </c>
      <c r="U4243" s="2">
        <f t="shared" si="668"/>
        <v>6.5711000000000004</v>
      </c>
      <c r="V4243" s="10">
        <f t="shared" si="669"/>
        <v>35.141100000000002</v>
      </c>
      <c r="X4243" s="5">
        <f t="shared" si="670"/>
        <v>1</v>
      </c>
      <c r="Z4243" s="2" t="s">
        <v>118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575</v>
      </c>
      <c r="E4244" s="2" t="s">
        <v>38</v>
      </c>
      <c r="F4244" s="2" t="s">
        <v>39</v>
      </c>
      <c r="G4244" s="2">
        <v>504811029</v>
      </c>
      <c r="H4244" s="2" t="s">
        <v>41</v>
      </c>
      <c r="I4244" s="2" t="s">
        <v>178</v>
      </c>
      <c r="J4244" s="2" t="s">
        <v>576</v>
      </c>
      <c r="L4244" s="2" t="s">
        <v>178</v>
      </c>
      <c r="M4244" s="2" t="s">
        <v>41</v>
      </c>
      <c r="P4244" s="2" t="s">
        <v>43</v>
      </c>
      <c r="Q4244" s="2" t="s">
        <v>62</v>
      </c>
      <c r="R4244" s="2" t="s">
        <v>63</v>
      </c>
      <c r="S4244" s="9">
        <v>1000</v>
      </c>
      <c r="T4244" s="10">
        <v>110</v>
      </c>
      <c r="U4244" s="2">
        <f t="shared" si="668"/>
        <v>25.3</v>
      </c>
      <c r="V4244" s="10">
        <f t="shared" si="669"/>
        <v>135.30000000000001</v>
      </c>
      <c r="W4244" s="2">
        <f>0.082*S4244</f>
        <v>82</v>
      </c>
      <c r="X4244" s="5">
        <f t="shared" si="670"/>
        <v>0.25454545454545452</v>
      </c>
      <c r="Z4244" s="2" t="s">
        <v>3233</v>
      </c>
      <c r="AA4244" s="2" t="s">
        <v>46</v>
      </c>
      <c r="AB4244" s="2" t="s">
        <v>61</v>
      </c>
      <c r="AC4244" s="2" t="s">
        <v>58</v>
      </c>
      <c r="AI4244" s="2"/>
      <c r="AK4244" s="2">
        <f t="shared" ref="AK4244" si="671">T4244-W4244</f>
        <v>28</v>
      </c>
      <c r="AL4244" s="5">
        <f t="shared" ref="AL4244" si="672">(T4244-W4244)/T4244</f>
        <v>0.25454545454545452</v>
      </c>
    </row>
    <row r="4245" spans="1:38" hidden="1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792</v>
      </c>
      <c r="R4245" s="2" t="s">
        <v>793</v>
      </c>
      <c r="S4245" s="9">
        <v>1</v>
      </c>
      <c r="T4245" s="10">
        <v>187.92</v>
      </c>
      <c r="U4245" s="2">
        <f>T4245*23%</f>
        <v>43.221600000000002</v>
      </c>
      <c r="V4245" s="2">
        <f>T4245+U4245</f>
        <v>231.14159999999998</v>
      </c>
      <c r="X4245" s="5">
        <f t="shared" si="670"/>
        <v>1</v>
      </c>
      <c r="Z4245" s="2" t="s">
        <v>118</v>
      </c>
      <c r="AI4245" s="2"/>
      <c r="AL4245" s="2"/>
    </row>
    <row r="4246" spans="1:38" hidden="1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796</v>
      </c>
      <c r="R4246" s="2" t="s">
        <v>2991</v>
      </c>
      <c r="S4246" s="9">
        <v>1</v>
      </c>
      <c r="T4246" s="10">
        <v>28.38</v>
      </c>
      <c r="U4246" s="2">
        <f>T4246*23%</f>
        <v>6.5274000000000001</v>
      </c>
      <c r="V4246" s="2">
        <f>T4246+U4246</f>
        <v>34.907399999999996</v>
      </c>
      <c r="X4246" s="5">
        <f t="shared" si="670"/>
        <v>1</v>
      </c>
      <c r="Z4246" s="2" t="s">
        <v>118</v>
      </c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189</v>
      </c>
      <c r="R4247" s="2" t="s">
        <v>190</v>
      </c>
      <c r="S4247" s="9">
        <v>1</v>
      </c>
      <c r="T4247" s="10">
        <v>94</v>
      </c>
      <c r="U4247" s="2">
        <f>T4247*23%</f>
        <v>21.62</v>
      </c>
      <c r="V4247" s="2">
        <f>T4247+U4247</f>
        <v>115.62</v>
      </c>
      <c r="W4247" s="2">
        <f>T4247*40%</f>
        <v>37.6</v>
      </c>
      <c r="X4247" s="5">
        <f t="shared" si="670"/>
        <v>0.6</v>
      </c>
      <c r="Z4247" s="2" t="s">
        <v>118</v>
      </c>
      <c r="AA4247" s="2" t="s">
        <v>191</v>
      </c>
      <c r="AB4247" s="2" t="s">
        <v>190</v>
      </c>
      <c r="AC4247" s="2" t="s">
        <v>40</v>
      </c>
      <c r="AG4247" s="2">
        <f>W4247</f>
        <v>37.6</v>
      </c>
      <c r="AI4247" s="2"/>
      <c r="AJ4247" s="2">
        <f>AI4247*T4247</f>
        <v>0</v>
      </c>
      <c r="AK4247" s="2">
        <f>T4247-W4247</f>
        <v>56.4</v>
      </c>
      <c r="AL4247" s="5">
        <f>(T4247-W4247)/T4247</f>
        <v>0.6</v>
      </c>
    </row>
    <row r="4248" spans="1:38" hidden="1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192</v>
      </c>
      <c r="R4248" s="2" t="s">
        <v>191</v>
      </c>
      <c r="S4248" s="9">
        <v>1</v>
      </c>
      <c r="T4248" s="10">
        <v>55</v>
      </c>
      <c r="U4248" s="2">
        <f>T4248*23%</f>
        <v>12.65</v>
      </c>
      <c r="V4248" s="2">
        <f>T4248+U4248</f>
        <v>67.650000000000006</v>
      </c>
      <c r="W4248" s="2">
        <f>T4248*50%</f>
        <v>27.5</v>
      </c>
      <c r="X4248" s="5">
        <f t="shared" si="670"/>
        <v>0.5</v>
      </c>
      <c r="Z4248" s="2" t="s">
        <v>118</v>
      </c>
      <c r="AA4248" s="2" t="s">
        <v>191</v>
      </c>
      <c r="AB4248" s="2" t="s">
        <v>191</v>
      </c>
      <c r="AC4248" s="2" t="s">
        <v>40</v>
      </c>
      <c r="AF4248" s="2">
        <f>AJ4248</f>
        <v>0</v>
      </c>
      <c r="AG4248" s="2">
        <f>W4248</f>
        <v>27.5</v>
      </c>
      <c r="AI4248" s="2"/>
      <c r="AJ4248" s="2">
        <f>AI4248*T4248</f>
        <v>0</v>
      </c>
      <c r="AK4248" s="2">
        <f>T4248-W4248</f>
        <v>27.5</v>
      </c>
      <c r="AL4248" s="5">
        <f>(T4248-W4248)/T4248</f>
        <v>0.5</v>
      </c>
    </row>
    <row r="4249" spans="1:38" hidden="1" x14ac:dyDescent="0.2">
      <c r="A4249" s="8">
        <v>2026</v>
      </c>
      <c r="B4249" s="8">
        <v>6</v>
      </c>
      <c r="C4249" s="8"/>
      <c r="D4249" s="2" t="s">
        <v>582</v>
      </c>
      <c r="P4249" s="2" t="s">
        <v>40</v>
      </c>
      <c r="Q4249" s="2" t="s">
        <v>364</v>
      </c>
      <c r="R4249" s="2" t="s">
        <v>365</v>
      </c>
      <c r="S4249" s="9">
        <v>1</v>
      </c>
      <c r="T4249" s="10">
        <v>87.5</v>
      </c>
      <c r="U4249" s="2">
        <f>T4249*23%</f>
        <v>20.125</v>
      </c>
      <c r="V4249" s="10">
        <f>T4249+U4249</f>
        <v>107.625</v>
      </c>
      <c r="X4249" s="5">
        <f t="shared" si="670"/>
        <v>1</v>
      </c>
      <c r="Z4249" s="2" t="s">
        <v>120</v>
      </c>
      <c r="AA4249" s="2" t="s">
        <v>3388</v>
      </c>
      <c r="AI4249" s="2"/>
      <c r="AL4249" s="2"/>
    </row>
    <row r="4250" spans="1:38" hidden="1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P4250" s="2" t="s">
        <v>73</v>
      </c>
      <c r="Q4250" s="2" t="s">
        <v>1074</v>
      </c>
      <c r="R4250" s="2" t="s">
        <v>382</v>
      </c>
      <c r="S4250" s="9">
        <v>1</v>
      </c>
      <c r="T4250" s="10">
        <v>257.60000000000002</v>
      </c>
      <c r="U4250" s="2">
        <f t="shared" ref="U4250:U4259" si="673">T4250*23%</f>
        <v>59.248000000000005</v>
      </c>
      <c r="V4250" s="10">
        <f t="shared" ref="V4250:V4260" si="674">T4250+U4250</f>
        <v>316.84800000000001</v>
      </c>
      <c r="W4250" s="2">
        <f>130.03+6.8</f>
        <v>136.83000000000001</v>
      </c>
      <c r="X4250" s="5">
        <f t="shared" ref="X4250:X4262" si="675">(T4250-W4250)/T4250</f>
        <v>0.46882763975155278</v>
      </c>
      <c r="Z4250" s="2" t="s">
        <v>3233</v>
      </c>
      <c r="AA4250" s="2" t="s">
        <v>76</v>
      </c>
      <c r="AB4250" s="2" t="s">
        <v>77</v>
      </c>
      <c r="AC4250" s="2" t="s">
        <v>78</v>
      </c>
      <c r="AF4250" s="2">
        <f>AJ4250</f>
        <v>0</v>
      </c>
      <c r="AG4250" s="2">
        <v>125.51600000000001</v>
      </c>
      <c r="AH4250" s="2">
        <v>220</v>
      </c>
      <c r="AI4250" s="2"/>
      <c r="AJ4250" s="2">
        <f>AI4250*T4250</f>
        <v>0</v>
      </c>
      <c r="AK4250" s="2">
        <f>T4250-W4250</f>
        <v>120.77000000000001</v>
      </c>
      <c r="AL4250" s="5">
        <f>(T4250-W4250)/T4250</f>
        <v>0.46882763975155278</v>
      </c>
    </row>
    <row r="4251" spans="1:38" hidden="1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O4251" s="2" t="s">
        <v>3168</v>
      </c>
      <c r="P4251" s="2" t="s">
        <v>1040</v>
      </c>
      <c r="Q4251" s="2" t="s">
        <v>2748</v>
      </c>
      <c r="R4251" s="2" t="s">
        <v>2749</v>
      </c>
      <c r="S4251" s="9">
        <v>1</v>
      </c>
      <c r="T4251" s="10">
        <v>414</v>
      </c>
      <c r="U4251" s="2">
        <f t="shared" si="673"/>
        <v>95.22</v>
      </c>
      <c r="V4251" s="2">
        <f t="shared" si="674"/>
        <v>509.22</v>
      </c>
      <c r="W4251" s="2">
        <v>270.60000000000002</v>
      </c>
      <c r="X4251" s="5">
        <f t="shared" si="675"/>
        <v>0.34637681159420286</v>
      </c>
      <c r="Z4251" s="2" t="s">
        <v>3233</v>
      </c>
      <c r="AA4251" s="2" t="s">
        <v>76</v>
      </c>
      <c r="AB4251" s="2" t="s">
        <v>77</v>
      </c>
      <c r="AC4251" s="2" t="s">
        <v>1040</v>
      </c>
      <c r="AF4251" s="2">
        <f>AJ4251</f>
        <v>0</v>
      </c>
      <c r="AG4251" s="2">
        <v>270.60000000000002</v>
      </c>
      <c r="AI4251" s="2"/>
      <c r="AJ4251" s="2">
        <f>AI4251*T4251</f>
        <v>0</v>
      </c>
      <c r="AK4251" s="2">
        <f>T4251-W4251</f>
        <v>143.39999999999998</v>
      </c>
      <c r="AL4251" s="5">
        <f>(T4251-W4251)/T4251</f>
        <v>0.34637681159420286</v>
      </c>
    </row>
    <row r="4252" spans="1:38" hidden="1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P4252" s="2" t="s">
        <v>94</v>
      </c>
      <c r="Q4252" s="2" t="s">
        <v>95</v>
      </c>
      <c r="R4252" s="2" t="s">
        <v>96</v>
      </c>
      <c r="S4252" s="9">
        <v>2</v>
      </c>
      <c r="T4252" s="10">
        <v>2.96</v>
      </c>
      <c r="U4252" s="2">
        <f t="shared" si="673"/>
        <v>0.68080000000000007</v>
      </c>
      <c r="V4252" s="10">
        <f t="shared" si="674"/>
        <v>3.6408</v>
      </c>
      <c r="W4252" s="2">
        <f>1.48*S4252</f>
        <v>2.96</v>
      </c>
      <c r="X4252" s="5">
        <f t="shared" si="675"/>
        <v>0</v>
      </c>
      <c r="Z4252" s="2" t="s">
        <v>3233</v>
      </c>
      <c r="AA4252" s="2" t="s">
        <v>97</v>
      </c>
      <c r="AB4252" s="2" t="s">
        <v>77</v>
      </c>
      <c r="AC4252" s="2" t="s">
        <v>94</v>
      </c>
      <c r="AF4252" s="2">
        <f>AJ4252</f>
        <v>0</v>
      </c>
      <c r="AG4252" s="2">
        <v>1.48</v>
      </c>
      <c r="AH4252" s="2">
        <v>1.48</v>
      </c>
      <c r="AI4252" s="2"/>
      <c r="AJ4252" s="2">
        <f>AI4252*T4252</f>
        <v>0</v>
      </c>
      <c r="AK4252" s="2">
        <f>T4252-W4252</f>
        <v>0</v>
      </c>
      <c r="AL4252" s="5">
        <f>(T4252-W4252)/T4252</f>
        <v>0</v>
      </c>
    </row>
    <row r="4253" spans="1:38" hidden="1" x14ac:dyDescent="0.2">
      <c r="A4253" s="8">
        <v>2026</v>
      </c>
      <c r="B4253" s="8">
        <v>6</v>
      </c>
      <c r="C4253" s="8"/>
      <c r="D4253" s="2" t="s">
        <v>589</v>
      </c>
      <c r="E4253" s="2" t="s">
        <v>38</v>
      </c>
      <c r="F4253" s="2" t="s">
        <v>39</v>
      </c>
      <c r="G4253" s="2">
        <v>510339298</v>
      </c>
      <c r="H4253" s="2" t="s">
        <v>41</v>
      </c>
      <c r="I4253" s="2" t="s">
        <v>178</v>
      </c>
      <c r="J4253" s="2" t="s">
        <v>590</v>
      </c>
      <c r="L4253" s="2" t="s">
        <v>178</v>
      </c>
      <c r="P4253" s="2" t="s">
        <v>43</v>
      </c>
      <c r="Q4253" s="2" t="s">
        <v>161</v>
      </c>
      <c r="R4253" s="2" t="s">
        <v>162</v>
      </c>
      <c r="S4253" s="9">
        <v>1</v>
      </c>
      <c r="T4253" s="10">
        <v>9</v>
      </c>
      <c r="U4253" s="2">
        <f t="shared" si="673"/>
        <v>2.0700000000000003</v>
      </c>
      <c r="V4253" s="10">
        <f t="shared" si="674"/>
        <v>11.07</v>
      </c>
      <c r="W4253" s="2">
        <f>3.7358*S4253</f>
        <v>3.7357999999999998</v>
      </c>
      <c r="X4253" s="5">
        <f t="shared" si="675"/>
        <v>0.58491111111111116</v>
      </c>
      <c r="Z4253" s="2" t="s">
        <v>3233</v>
      </c>
      <c r="AA4253" s="2" t="s">
        <v>46</v>
      </c>
      <c r="AB4253" s="2" t="s">
        <v>47</v>
      </c>
      <c r="AC4253" s="2" t="s">
        <v>48</v>
      </c>
      <c r="AI4253" s="2"/>
      <c r="AK4253" s="2">
        <f t="shared" ref="AK4253" si="676">T4253-W4253</f>
        <v>5.2642000000000007</v>
      </c>
      <c r="AL4253" s="5">
        <f t="shared" ref="AL4253" si="677">(T4253-W4253)/T4253</f>
        <v>0.58491111111111116</v>
      </c>
    </row>
    <row r="4254" spans="1:38" hidden="1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73</v>
      </c>
      <c r="Q4254" s="2" t="s">
        <v>914</v>
      </c>
      <c r="R4254" s="2" t="s">
        <v>75</v>
      </c>
      <c r="S4254" s="9">
        <v>1</v>
      </c>
      <c r="T4254" s="10">
        <v>211.6</v>
      </c>
      <c r="U4254" s="2">
        <f t="shared" si="673"/>
        <v>48.667999999999999</v>
      </c>
      <c r="V4254" s="10">
        <f t="shared" si="674"/>
        <v>260.26799999999997</v>
      </c>
      <c r="W4254" s="2">
        <f>115.92+6.06</f>
        <v>121.98</v>
      </c>
      <c r="X4254" s="5">
        <f t="shared" si="675"/>
        <v>0.42353497164461246</v>
      </c>
      <c r="Z4254" s="2" t="s">
        <v>3233</v>
      </c>
      <c r="AA4254" s="2" t="s">
        <v>76</v>
      </c>
      <c r="AB4254" s="2" t="s">
        <v>77</v>
      </c>
      <c r="AC4254" s="2" t="s">
        <v>78</v>
      </c>
      <c r="AF4254" s="2">
        <f>AJ4254</f>
        <v>0</v>
      </c>
      <c r="AG4254" s="2">
        <v>125.51600000000001</v>
      </c>
      <c r="AH4254" s="2">
        <v>220</v>
      </c>
      <c r="AI4254" s="2"/>
      <c r="AJ4254" s="2">
        <f>AI4254*T4254</f>
        <v>0</v>
      </c>
      <c r="AK4254" s="2">
        <f>T4254-W4254</f>
        <v>89.61999999999999</v>
      </c>
      <c r="AL4254" s="5">
        <f>(T4254-W4254)/T4254</f>
        <v>0.42353497164461246</v>
      </c>
    </row>
    <row r="4255" spans="1:38" hidden="1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94</v>
      </c>
      <c r="Q4255" s="2" t="s">
        <v>95</v>
      </c>
      <c r="R4255" s="2" t="s">
        <v>96</v>
      </c>
      <c r="S4255" s="9">
        <v>1</v>
      </c>
      <c r="T4255" s="10">
        <v>1.48</v>
      </c>
      <c r="U4255" s="2">
        <f t="shared" si="673"/>
        <v>0.34040000000000004</v>
      </c>
      <c r="V4255" s="10">
        <f t="shared" si="674"/>
        <v>1.8204</v>
      </c>
      <c r="W4255" s="2">
        <f>1.48*S4255</f>
        <v>1.48</v>
      </c>
      <c r="X4255" s="5">
        <f t="shared" si="675"/>
        <v>0</v>
      </c>
      <c r="Z4255" s="2" t="s">
        <v>3233</v>
      </c>
      <c r="AA4255" s="2" t="s">
        <v>97</v>
      </c>
      <c r="AB4255" s="2" t="s">
        <v>77</v>
      </c>
      <c r="AC4255" s="2" t="s">
        <v>94</v>
      </c>
      <c r="AF4255" s="2">
        <f>AJ4255</f>
        <v>0</v>
      </c>
      <c r="AG4255" s="2">
        <v>1.48</v>
      </c>
      <c r="AH4255" s="2">
        <v>1.48</v>
      </c>
      <c r="AI4255" s="2"/>
      <c r="AJ4255" s="2">
        <f>AI4255*T4255</f>
        <v>0</v>
      </c>
      <c r="AK4255" s="2">
        <f>T4255-W4255</f>
        <v>0</v>
      </c>
      <c r="AL4255" s="5">
        <f>(T4255-W4255)/T4255</f>
        <v>0</v>
      </c>
    </row>
    <row r="4256" spans="1:38" hidden="1" x14ac:dyDescent="0.2">
      <c r="A4256" s="8">
        <v>2026</v>
      </c>
      <c r="B4256" s="8">
        <v>6</v>
      </c>
      <c r="C4256" s="8"/>
      <c r="D4256" s="2" t="s">
        <v>610</v>
      </c>
      <c r="P4256" s="2" t="s">
        <v>43</v>
      </c>
      <c r="Q4256" s="2" t="s">
        <v>62</v>
      </c>
      <c r="R4256" s="2" t="s">
        <v>63</v>
      </c>
      <c r="S4256" s="9">
        <v>100</v>
      </c>
      <c r="T4256" s="10">
        <v>13</v>
      </c>
      <c r="U4256" s="2">
        <f t="shared" si="673"/>
        <v>2.99</v>
      </c>
      <c r="V4256" s="10">
        <f t="shared" si="674"/>
        <v>15.99</v>
      </c>
      <c r="W4256" s="2">
        <f>0.082*S4256</f>
        <v>8.2000000000000011</v>
      </c>
      <c r="X4256" s="5">
        <f t="shared" si="675"/>
        <v>0.36923076923076914</v>
      </c>
      <c r="Z4256" s="2" t="s">
        <v>3233</v>
      </c>
      <c r="AA4256" s="2" t="s">
        <v>46</v>
      </c>
      <c r="AB4256" s="2" t="s">
        <v>61</v>
      </c>
      <c r="AC4256" s="2" t="s">
        <v>58</v>
      </c>
      <c r="AI4256" s="2"/>
      <c r="AK4256" s="2">
        <f t="shared" ref="AK4256:AK4257" si="678">T4256-W4256</f>
        <v>4.7999999999999989</v>
      </c>
      <c r="AL4256" s="5">
        <f t="shared" ref="AL4256:AL4257" si="679">(T4256-W4256)/T4256</f>
        <v>0.36923076923076914</v>
      </c>
    </row>
    <row r="4257" spans="1:38" hidden="1" x14ac:dyDescent="0.2">
      <c r="A4257" s="8">
        <v>2026</v>
      </c>
      <c r="B4257" s="8">
        <v>6</v>
      </c>
      <c r="C4257" s="8"/>
      <c r="D4257" s="2" t="s">
        <v>614</v>
      </c>
      <c r="P4257" s="2" t="s">
        <v>43</v>
      </c>
      <c r="Q4257" s="2" t="s">
        <v>59</v>
      </c>
      <c r="R4257" s="2" t="s">
        <v>60</v>
      </c>
      <c r="S4257" s="2">
        <v>1000</v>
      </c>
      <c r="T4257" s="10">
        <v>130</v>
      </c>
      <c r="U4257" s="2">
        <f t="shared" si="673"/>
        <v>29.900000000000002</v>
      </c>
      <c r="V4257" s="10">
        <f t="shared" si="674"/>
        <v>159.9</v>
      </c>
      <c r="W4257" s="2">
        <f>0.0914*S4257</f>
        <v>91.399999999999991</v>
      </c>
      <c r="X4257" s="5">
        <f t="shared" si="675"/>
        <v>0.29692307692307701</v>
      </c>
      <c r="Z4257" s="2" t="s">
        <v>3233</v>
      </c>
      <c r="AA4257" s="2" t="s">
        <v>46</v>
      </c>
      <c r="AB4257" s="2" t="s">
        <v>61</v>
      </c>
      <c r="AC4257" s="2" t="s">
        <v>58</v>
      </c>
      <c r="AF4257" s="2">
        <f>AJ4257</f>
        <v>0</v>
      </c>
      <c r="AG4257" s="2">
        <v>9.14</v>
      </c>
      <c r="AH4257" s="2">
        <v>16</v>
      </c>
      <c r="AI4257" s="2"/>
      <c r="AK4257" s="2">
        <f t="shared" si="678"/>
        <v>38.600000000000009</v>
      </c>
      <c r="AL4257" s="5">
        <f t="shared" si="679"/>
        <v>0.29692307692307701</v>
      </c>
    </row>
    <row r="4258" spans="1:38" hidden="1" x14ac:dyDescent="0.2">
      <c r="A4258" s="8">
        <v>2026</v>
      </c>
      <c r="B4258" s="8">
        <v>6</v>
      </c>
      <c r="C4258" s="8"/>
      <c r="D4258" s="2" t="s">
        <v>1298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1299</v>
      </c>
      <c r="L4258" s="2" t="s">
        <v>340</v>
      </c>
      <c r="M4258" s="2" t="s">
        <v>81</v>
      </c>
      <c r="O4258" s="2" t="s">
        <v>3202</v>
      </c>
      <c r="P4258" s="2" t="s">
        <v>73</v>
      </c>
      <c r="Q4258" s="2" t="s">
        <v>534</v>
      </c>
      <c r="R4258" s="2" t="s">
        <v>535</v>
      </c>
      <c r="S4258" s="9">
        <v>1</v>
      </c>
      <c r="T4258" s="10">
        <v>203.7</v>
      </c>
      <c r="U4258" s="2">
        <f t="shared" si="673"/>
        <v>46.850999999999999</v>
      </c>
      <c r="V4258" s="10">
        <f t="shared" si="674"/>
        <v>250.55099999999999</v>
      </c>
      <c r="W4258" s="2">
        <f>110.125+11.77</f>
        <v>121.895</v>
      </c>
      <c r="X4258" s="5">
        <f t="shared" si="675"/>
        <v>0.4015954835542464</v>
      </c>
      <c r="Z4258" s="2" t="s">
        <v>3233</v>
      </c>
      <c r="AA4258" s="2" t="s">
        <v>76</v>
      </c>
      <c r="AB4258" s="2" t="s">
        <v>77</v>
      </c>
      <c r="AC4258" s="2" t="s">
        <v>78</v>
      </c>
      <c r="AF4258" s="2">
        <f>AJ4258</f>
        <v>0</v>
      </c>
      <c r="AG4258" s="2">
        <f>110.125+11.77</f>
        <v>121.895</v>
      </c>
      <c r="AH4258" s="2">
        <v>220</v>
      </c>
      <c r="AI4258" s="2"/>
      <c r="AJ4258" s="2">
        <f>AI4258*T4258</f>
        <v>0</v>
      </c>
      <c r="AK4258" s="2">
        <f>T4258-W4258</f>
        <v>81.804999999999993</v>
      </c>
      <c r="AL4258" s="5">
        <f>(T4258-W4258)/T4258</f>
        <v>0.4015954835542464</v>
      </c>
    </row>
    <row r="4259" spans="1:38" hidden="1" x14ac:dyDescent="0.2">
      <c r="A4259" s="8">
        <v>2026</v>
      </c>
      <c r="B4259" s="8">
        <v>6</v>
      </c>
      <c r="C4259" s="8"/>
      <c r="D4259" s="2" t="s">
        <v>1298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1299</v>
      </c>
      <c r="L4259" s="2" t="s">
        <v>340</v>
      </c>
      <c r="M4259" s="2" t="s">
        <v>81</v>
      </c>
      <c r="P4259" s="2" t="s">
        <v>94</v>
      </c>
      <c r="Q4259" s="2" t="s">
        <v>95</v>
      </c>
      <c r="R4259" s="2" t="s">
        <v>96</v>
      </c>
      <c r="S4259" s="9">
        <v>1</v>
      </c>
      <c r="T4259" s="10">
        <v>1.48</v>
      </c>
      <c r="U4259" s="2">
        <f t="shared" si="673"/>
        <v>0.34040000000000004</v>
      </c>
      <c r="V4259" s="10">
        <f t="shared" si="674"/>
        <v>1.8204</v>
      </c>
      <c r="W4259" s="2">
        <f>1.48*S4259</f>
        <v>1.48</v>
      </c>
      <c r="X4259" s="5">
        <f t="shared" si="675"/>
        <v>0</v>
      </c>
      <c r="Z4259" s="2" t="s">
        <v>3233</v>
      </c>
      <c r="AA4259" s="2" t="s">
        <v>97</v>
      </c>
      <c r="AB4259" s="2" t="s">
        <v>77</v>
      </c>
      <c r="AC4259" s="2" t="s">
        <v>94</v>
      </c>
      <c r="AF4259" s="2">
        <f>AJ4259</f>
        <v>0</v>
      </c>
      <c r="AG4259" s="2">
        <v>1.48</v>
      </c>
      <c r="AH4259" s="2">
        <v>1.48</v>
      </c>
      <c r="AI4259" s="2"/>
      <c r="AJ4259" s="2">
        <f>AI4259*T4259</f>
        <v>0</v>
      </c>
      <c r="AK4259" s="2">
        <f>T4259-W4259</f>
        <v>0</v>
      </c>
      <c r="AL4259" s="5">
        <f>(T4259-W4259)/T4259</f>
        <v>0</v>
      </c>
    </row>
    <row r="4260" spans="1:38" hidden="1" x14ac:dyDescent="0.2">
      <c r="A4260" s="8">
        <v>2026</v>
      </c>
      <c r="B4260" s="8">
        <v>6</v>
      </c>
      <c r="C4260" s="8"/>
      <c r="D4260" s="2" t="s">
        <v>625</v>
      </c>
      <c r="E4260" s="2" t="s">
        <v>38</v>
      </c>
      <c r="F4260" s="2" t="s">
        <v>39</v>
      </c>
      <c r="G4260" s="2" t="s">
        <v>626</v>
      </c>
      <c r="H4260" s="2" t="s">
        <v>40</v>
      </c>
      <c r="I4260" s="2" t="s">
        <v>627</v>
      </c>
      <c r="J4260" s="2" t="s">
        <v>628</v>
      </c>
      <c r="L4260" s="2" t="s">
        <v>627</v>
      </c>
      <c r="M4260" s="2" t="s">
        <v>40</v>
      </c>
      <c r="P4260" s="2" t="s">
        <v>115</v>
      </c>
      <c r="Q4260" s="2" t="s">
        <v>906</v>
      </c>
      <c r="R4260" s="2" t="s">
        <v>907</v>
      </c>
      <c r="S4260" s="9">
        <v>1</v>
      </c>
      <c r="T4260" s="10">
        <v>465.7</v>
      </c>
      <c r="U4260" s="2">
        <f t="shared" ref="U4260:U4278" si="680">T4260*23%</f>
        <v>107.111</v>
      </c>
      <c r="V4260" s="2">
        <f t="shared" si="674"/>
        <v>572.81100000000004</v>
      </c>
      <c r="W4260" s="2">
        <v>345.20339999999999</v>
      </c>
      <c r="X4260" s="5">
        <f t="shared" si="675"/>
        <v>0.25874296757569254</v>
      </c>
      <c r="Z4260" s="2" t="s">
        <v>118</v>
      </c>
      <c r="AA4260" s="2" t="s">
        <v>182</v>
      </c>
      <c r="AB4260" s="2" t="s">
        <v>120</v>
      </c>
      <c r="AC4260" s="2" t="s">
        <v>115</v>
      </c>
      <c r="AI4260" s="2"/>
      <c r="AK4260" s="2">
        <f>T4260-W4260</f>
        <v>120.4966</v>
      </c>
      <c r="AL4260" s="5">
        <f>(T4260-W4260)/T4260</f>
        <v>0.25874296757569254</v>
      </c>
    </row>
    <row r="4261" spans="1:38" hidden="1" x14ac:dyDescent="0.2">
      <c r="A4261" s="8">
        <v>2026</v>
      </c>
      <c r="B4261" s="8">
        <v>6</v>
      </c>
      <c r="C4261" s="8" t="s">
        <v>3386</v>
      </c>
      <c r="D4261" s="2" t="s">
        <v>1662</v>
      </c>
      <c r="E4261" s="2" t="s">
        <v>38</v>
      </c>
      <c r="F4261" s="2" t="s">
        <v>39</v>
      </c>
      <c r="L4261" s="2" t="s">
        <v>178</v>
      </c>
      <c r="M4261" s="2" t="s">
        <v>41</v>
      </c>
      <c r="P4261" s="2" t="s">
        <v>115</v>
      </c>
      <c r="Q4261" s="2" t="s">
        <v>1910</v>
      </c>
      <c r="R4261" s="2" t="s">
        <v>1911</v>
      </c>
      <c r="S4261" s="9">
        <v>1</v>
      </c>
      <c r="T4261" s="10">
        <v>23850</v>
      </c>
      <c r="U4261" s="2">
        <f t="shared" si="680"/>
        <v>5485.5</v>
      </c>
      <c r="V4261" s="2">
        <f t="shared" ref="V4261:V4277" si="681">T4261+U4261</f>
        <v>29335.5</v>
      </c>
      <c r="W4261" s="2">
        <f>16602.97+398</f>
        <v>17000.97</v>
      </c>
      <c r="X4261" s="5">
        <f t="shared" si="675"/>
        <v>0.28717106918238988</v>
      </c>
      <c r="Z4261" s="2" t="s">
        <v>105</v>
      </c>
      <c r="AA4261" s="2" t="s">
        <v>415</v>
      </c>
      <c r="AB4261" s="2" t="s">
        <v>152</v>
      </c>
      <c r="AC4261" s="2" t="s">
        <v>115</v>
      </c>
      <c r="AI4261" s="2"/>
      <c r="AL4261" s="2"/>
    </row>
    <row r="4262" spans="1:38" hidden="1" x14ac:dyDescent="0.2">
      <c r="A4262" s="8">
        <v>2026</v>
      </c>
      <c r="B4262" s="8">
        <v>6</v>
      </c>
      <c r="C4262" s="8"/>
      <c r="D4262" s="2" t="s">
        <v>3113</v>
      </c>
      <c r="P4262" s="2" t="s">
        <v>115</v>
      </c>
      <c r="Q4262" s="2" t="s">
        <v>3099</v>
      </c>
      <c r="R4262" s="2" t="s">
        <v>3100</v>
      </c>
      <c r="S4262" s="9">
        <v>1</v>
      </c>
      <c r="T4262" s="10">
        <v>750.56</v>
      </c>
      <c r="U4262" s="2">
        <f t="shared" si="680"/>
        <v>172.62879999999998</v>
      </c>
      <c r="V4262" s="2">
        <f t="shared" si="681"/>
        <v>923.1887999999999</v>
      </c>
      <c r="W4262" s="2">
        <f>376.4</f>
        <v>376.4</v>
      </c>
      <c r="X4262" s="5">
        <f t="shared" si="675"/>
        <v>0.49850778085696013</v>
      </c>
      <c r="Z4262" s="2" t="s">
        <v>118</v>
      </c>
      <c r="AA4262" s="2" t="s">
        <v>119</v>
      </c>
      <c r="AB4262" s="2" t="s">
        <v>120</v>
      </c>
      <c r="AC4262" s="2" t="s">
        <v>115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3113</v>
      </c>
      <c r="M4263" s="2" t="s">
        <v>40</v>
      </c>
      <c r="P4263" s="2" t="s">
        <v>188</v>
      </c>
      <c r="Q4263" s="2" t="s">
        <v>189</v>
      </c>
      <c r="R4263" s="2" t="s">
        <v>190</v>
      </c>
      <c r="S4263" s="9">
        <v>1</v>
      </c>
      <c r="T4263" s="10">
        <v>55</v>
      </c>
      <c r="U4263" s="2">
        <f t="shared" si="680"/>
        <v>12.65</v>
      </c>
      <c r="V4263" s="2">
        <f t="shared" si="681"/>
        <v>67.650000000000006</v>
      </c>
      <c r="W4263" s="2">
        <f>T4263*40%</f>
        <v>22</v>
      </c>
      <c r="X4263" s="5">
        <f t="shared" ref="X4263:X4271" si="682">(T4263-W4263)/T4263</f>
        <v>0.6</v>
      </c>
      <c r="Z4263" s="2" t="s">
        <v>118</v>
      </c>
      <c r="AA4263" s="2" t="s">
        <v>191</v>
      </c>
      <c r="AB4263" s="2" t="s">
        <v>190</v>
      </c>
      <c r="AC4263" s="2" t="s">
        <v>40</v>
      </c>
      <c r="AG4263" s="2">
        <f>W4263</f>
        <v>22</v>
      </c>
      <c r="AI4263" s="2"/>
      <c r="AJ4263" s="2">
        <f>AI4263*T4263</f>
        <v>0</v>
      </c>
      <c r="AK4263" s="2">
        <f t="shared" ref="AK4263:AK4271" si="683">T4263-W4263</f>
        <v>33</v>
      </c>
      <c r="AL4263" s="5">
        <f t="shared" ref="AL4263:AL4271" si="684">(T4263-W4263)/T4263</f>
        <v>0.6</v>
      </c>
    </row>
    <row r="4264" spans="1:38" hidden="1" x14ac:dyDescent="0.2">
      <c r="A4264" s="8">
        <v>2026</v>
      </c>
      <c r="B4264" s="8">
        <v>6</v>
      </c>
      <c r="C4264" s="8"/>
      <c r="D4264" s="2" t="s">
        <v>3113</v>
      </c>
      <c r="M4264" s="2" t="s">
        <v>40</v>
      </c>
      <c r="P4264" s="2" t="s">
        <v>188</v>
      </c>
      <c r="Q4264" s="2" t="s">
        <v>192</v>
      </c>
      <c r="R4264" s="2" t="s">
        <v>191</v>
      </c>
      <c r="S4264" s="9">
        <v>1</v>
      </c>
      <c r="T4264" s="10">
        <v>55</v>
      </c>
      <c r="U4264" s="2">
        <f t="shared" si="680"/>
        <v>12.65</v>
      </c>
      <c r="V4264" s="2">
        <f t="shared" si="681"/>
        <v>67.650000000000006</v>
      </c>
      <c r="W4264" s="2">
        <f>T4264*50%</f>
        <v>27.5</v>
      </c>
      <c r="X4264" s="5">
        <f t="shared" si="682"/>
        <v>0.5</v>
      </c>
      <c r="Z4264" s="2" t="s">
        <v>118</v>
      </c>
      <c r="AA4264" s="2" t="s">
        <v>191</v>
      </c>
      <c r="AB4264" s="2" t="s">
        <v>191</v>
      </c>
      <c r="AC4264" s="2" t="s">
        <v>40</v>
      </c>
      <c r="AF4264" s="2">
        <f>AJ4264</f>
        <v>0</v>
      </c>
      <c r="AG4264" s="2">
        <f>W4264</f>
        <v>27.5</v>
      </c>
      <c r="AI4264" s="2"/>
      <c r="AJ4264" s="2">
        <f>AI4264*T4264</f>
        <v>0</v>
      </c>
      <c r="AK4264" s="2">
        <f t="shared" si="683"/>
        <v>27.5</v>
      </c>
      <c r="AL4264" s="5">
        <f t="shared" si="684"/>
        <v>0.5</v>
      </c>
    </row>
    <row r="4265" spans="1:38" hidden="1" x14ac:dyDescent="0.2">
      <c r="A4265" s="8">
        <v>2026</v>
      </c>
      <c r="B4265" s="8">
        <v>6</v>
      </c>
      <c r="C4265" s="8"/>
      <c r="D4265" s="2" t="s">
        <v>911</v>
      </c>
      <c r="M4265" s="2" t="s">
        <v>40</v>
      </c>
      <c r="P4265" s="2" t="s">
        <v>188</v>
      </c>
      <c r="Q4265" s="2" t="s">
        <v>189</v>
      </c>
      <c r="R4265" s="2" t="s">
        <v>190</v>
      </c>
      <c r="S4265" s="9">
        <v>1</v>
      </c>
      <c r="T4265" s="10">
        <v>114</v>
      </c>
      <c r="U4265" s="2">
        <f t="shared" si="680"/>
        <v>26.220000000000002</v>
      </c>
      <c r="V4265" s="2">
        <f t="shared" si="681"/>
        <v>140.22</v>
      </c>
      <c r="W4265" s="2">
        <f>T4265*40%</f>
        <v>45.6</v>
      </c>
      <c r="X4265" s="5">
        <f t="shared" si="682"/>
        <v>0.60000000000000009</v>
      </c>
      <c r="Z4265" s="2" t="s">
        <v>118</v>
      </c>
      <c r="AA4265" s="2" t="s">
        <v>191</v>
      </c>
      <c r="AB4265" s="2" t="s">
        <v>190</v>
      </c>
      <c r="AC4265" s="2" t="s">
        <v>40</v>
      </c>
      <c r="AG4265" s="2">
        <f>W4265</f>
        <v>45.6</v>
      </c>
      <c r="AI4265" s="2"/>
      <c r="AJ4265" s="2">
        <f>AI4265*T4265</f>
        <v>0</v>
      </c>
      <c r="AK4265" s="2">
        <f t="shared" si="683"/>
        <v>68.400000000000006</v>
      </c>
      <c r="AL4265" s="5">
        <f t="shared" si="684"/>
        <v>0.60000000000000009</v>
      </c>
    </row>
    <row r="4266" spans="1:38" hidden="1" x14ac:dyDescent="0.2">
      <c r="A4266" s="8">
        <v>2026</v>
      </c>
      <c r="B4266" s="8">
        <v>6</v>
      </c>
      <c r="C4266" s="8"/>
      <c r="D4266" s="2" t="s">
        <v>911</v>
      </c>
      <c r="M4266" s="2" t="s">
        <v>40</v>
      </c>
      <c r="P4266" s="2" t="s">
        <v>188</v>
      </c>
      <c r="Q4266" s="2" t="s">
        <v>192</v>
      </c>
      <c r="R4266" s="2" t="s">
        <v>191</v>
      </c>
      <c r="S4266" s="9">
        <v>1</v>
      </c>
      <c r="T4266" s="10">
        <v>49.5</v>
      </c>
      <c r="U4266" s="2">
        <f t="shared" si="680"/>
        <v>11.385</v>
      </c>
      <c r="V4266" s="2">
        <f t="shared" si="681"/>
        <v>60.884999999999998</v>
      </c>
      <c r="W4266" s="2">
        <f>T4266*50%</f>
        <v>24.75</v>
      </c>
      <c r="X4266" s="5">
        <f t="shared" si="682"/>
        <v>0.5</v>
      </c>
      <c r="Z4266" s="2" t="s">
        <v>118</v>
      </c>
      <c r="AA4266" s="2" t="s">
        <v>191</v>
      </c>
      <c r="AB4266" s="2" t="s">
        <v>191</v>
      </c>
      <c r="AC4266" s="2" t="s">
        <v>40</v>
      </c>
      <c r="AF4266" s="2">
        <f>AJ4266</f>
        <v>0</v>
      </c>
      <c r="AG4266" s="2">
        <f>W4266</f>
        <v>24.75</v>
      </c>
      <c r="AI4266" s="2"/>
      <c r="AJ4266" s="2">
        <f>AI4266*T4266</f>
        <v>0</v>
      </c>
      <c r="AK4266" s="2">
        <f t="shared" si="683"/>
        <v>24.75</v>
      </c>
      <c r="AL4266" s="5">
        <f t="shared" si="684"/>
        <v>0.5</v>
      </c>
    </row>
    <row r="4267" spans="1:38" hidden="1" x14ac:dyDescent="0.2">
      <c r="A4267" s="8">
        <v>2026</v>
      </c>
      <c r="B4267" s="8">
        <v>6</v>
      </c>
      <c r="C4267" s="8" t="s">
        <v>3330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40</v>
      </c>
      <c r="P4267" s="2" t="s">
        <v>115</v>
      </c>
      <c r="Q4267" s="2" t="s">
        <v>180</v>
      </c>
      <c r="R4267" s="2" t="s">
        <v>181</v>
      </c>
      <c r="S4267" s="9">
        <v>1</v>
      </c>
      <c r="T4267" s="10">
        <v>599.4</v>
      </c>
      <c r="U4267" s="2">
        <f t="shared" si="680"/>
        <v>137.86199999999999</v>
      </c>
      <c r="V4267" s="2">
        <f t="shared" si="681"/>
        <v>737.26199999999994</v>
      </c>
      <c r="W4267" s="2">
        <v>346.57</v>
      </c>
      <c r="X4267" s="5">
        <f t="shared" si="682"/>
        <v>0.42180513847180512</v>
      </c>
      <c r="Z4267" s="2" t="s">
        <v>118</v>
      </c>
      <c r="AA4267" s="2" t="s">
        <v>182</v>
      </c>
      <c r="AB4267" s="2" t="s">
        <v>120</v>
      </c>
      <c r="AC4267" s="2" t="s">
        <v>115</v>
      </c>
      <c r="AI4267" s="2"/>
      <c r="AK4267" s="2">
        <f t="shared" si="683"/>
        <v>252.82999999999998</v>
      </c>
      <c r="AL4267" s="5">
        <f t="shared" si="684"/>
        <v>0.42180513847180512</v>
      </c>
    </row>
    <row r="4268" spans="1:38" hidden="1" x14ac:dyDescent="0.2">
      <c r="A4268" s="8">
        <v>2026</v>
      </c>
      <c r="B4268" s="8">
        <v>6</v>
      </c>
      <c r="C4268" s="8" t="s">
        <v>3330</v>
      </c>
      <c r="D4268" s="2" t="s">
        <v>635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636</v>
      </c>
      <c r="J4268" s="2" t="s">
        <v>637</v>
      </c>
      <c r="L4268" s="2" t="s">
        <v>113</v>
      </c>
      <c r="M4268" s="2" t="s">
        <v>110</v>
      </c>
      <c r="P4268" s="2" t="s">
        <v>115</v>
      </c>
      <c r="Q4268" s="2" t="s">
        <v>1583</v>
      </c>
      <c r="R4268" s="2" t="s">
        <v>1584</v>
      </c>
      <c r="S4268" s="9">
        <v>1</v>
      </c>
      <c r="T4268" s="10">
        <v>6990</v>
      </c>
      <c r="U4268" s="2">
        <f t="shared" si="680"/>
        <v>1607.7</v>
      </c>
      <c r="V4268" s="2">
        <f t="shared" si="681"/>
        <v>8597.7000000000007</v>
      </c>
      <c r="W4268" s="2">
        <f>4893.23+171</f>
        <v>5064.2299999999996</v>
      </c>
      <c r="X4268" s="5">
        <f t="shared" si="682"/>
        <v>0.27550357653791135</v>
      </c>
      <c r="Z4268" s="2" t="s">
        <v>105</v>
      </c>
      <c r="AA4268" s="2" t="s">
        <v>151</v>
      </c>
      <c r="AB4268" s="2" t="s">
        <v>152</v>
      </c>
      <c r="AC4268" s="2" t="s">
        <v>115</v>
      </c>
      <c r="AI4268" s="2"/>
      <c r="AK4268" s="2">
        <f t="shared" si="683"/>
        <v>1925.7700000000004</v>
      </c>
      <c r="AL4268" s="5">
        <f t="shared" si="684"/>
        <v>0.27550357653791135</v>
      </c>
    </row>
    <row r="4269" spans="1:38" hidden="1" x14ac:dyDescent="0.2">
      <c r="A4269" s="8">
        <v>2026</v>
      </c>
      <c r="B4269" s="8">
        <v>6</v>
      </c>
      <c r="C4269" s="8" t="s">
        <v>3330</v>
      </c>
      <c r="D4269" s="2" t="s">
        <v>3110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115</v>
      </c>
      <c r="Q4269" s="2" t="s">
        <v>906</v>
      </c>
      <c r="R4269" s="2" t="s">
        <v>907</v>
      </c>
      <c r="S4269" s="9">
        <v>1</v>
      </c>
      <c r="T4269" s="10">
        <v>699.3</v>
      </c>
      <c r="U4269" s="2">
        <f t="shared" si="680"/>
        <v>160.839</v>
      </c>
      <c r="V4269" s="2">
        <f t="shared" si="681"/>
        <v>860.1389999999999</v>
      </c>
      <c r="W4269" s="2">
        <v>345.20339999999999</v>
      </c>
      <c r="X4269" s="5">
        <f t="shared" si="682"/>
        <v>0.50635864435864431</v>
      </c>
      <c r="Z4269" s="2" t="s">
        <v>118</v>
      </c>
      <c r="AA4269" s="2" t="s">
        <v>182</v>
      </c>
      <c r="AB4269" s="2" t="s">
        <v>120</v>
      </c>
      <c r="AC4269" s="2" t="s">
        <v>115</v>
      </c>
      <c r="AI4269" s="2"/>
      <c r="AK4269" s="2">
        <f t="shared" si="683"/>
        <v>354.09659999999997</v>
      </c>
      <c r="AL4269" s="5">
        <f t="shared" si="684"/>
        <v>0.50635864435864431</v>
      </c>
    </row>
    <row r="4270" spans="1:38" hidden="1" x14ac:dyDescent="0.2">
      <c r="A4270" s="8">
        <v>2026</v>
      </c>
      <c r="B4270" s="8">
        <v>6</v>
      </c>
      <c r="C4270" s="8" t="s">
        <v>3330</v>
      </c>
      <c r="D4270" s="2" t="s">
        <v>3110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189</v>
      </c>
      <c r="R4270" s="2" t="s">
        <v>190</v>
      </c>
      <c r="S4270" s="9">
        <v>1</v>
      </c>
      <c r="T4270" s="10">
        <v>152</v>
      </c>
      <c r="U4270" s="2">
        <f t="shared" si="680"/>
        <v>34.96</v>
      </c>
      <c r="V4270" s="2">
        <f t="shared" si="681"/>
        <v>186.96</v>
      </c>
      <c r="W4270" s="2">
        <f>T4270*40%</f>
        <v>60.800000000000004</v>
      </c>
      <c r="X4270" s="5">
        <f t="shared" si="682"/>
        <v>0.6</v>
      </c>
      <c r="Z4270" s="2" t="s">
        <v>118</v>
      </c>
      <c r="AA4270" s="2" t="s">
        <v>191</v>
      </c>
      <c r="AB4270" s="2" t="s">
        <v>190</v>
      </c>
      <c r="AC4270" s="2" t="s">
        <v>40</v>
      </c>
      <c r="AG4270" s="2">
        <f>W4270</f>
        <v>60.800000000000004</v>
      </c>
      <c r="AI4270" s="2"/>
      <c r="AJ4270" s="2">
        <f>AI4270*T4270</f>
        <v>0</v>
      </c>
      <c r="AK4270" s="2">
        <f t="shared" si="683"/>
        <v>91.199999999999989</v>
      </c>
      <c r="AL4270" s="5">
        <f t="shared" si="684"/>
        <v>0.6</v>
      </c>
    </row>
    <row r="4271" spans="1:38" hidden="1" x14ac:dyDescent="0.2">
      <c r="A4271" s="8">
        <v>2026</v>
      </c>
      <c r="B4271" s="8">
        <v>6</v>
      </c>
      <c r="C4271" s="8" t="s">
        <v>3330</v>
      </c>
      <c r="D4271" s="2" t="s">
        <v>3110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192</v>
      </c>
      <c r="R4271" s="2" t="s">
        <v>191</v>
      </c>
      <c r="S4271" s="9">
        <v>1</v>
      </c>
      <c r="T4271" s="10">
        <v>55</v>
      </c>
      <c r="U4271" s="2">
        <f t="shared" si="680"/>
        <v>12.65</v>
      </c>
      <c r="V4271" s="2">
        <f t="shared" si="681"/>
        <v>67.650000000000006</v>
      </c>
      <c r="W4271" s="2">
        <f>T4271*50%</f>
        <v>27.5</v>
      </c>
      <c r="X4271" s="5">
        <f t="shared" si="682"/>
        <v>0.5</v>
      </c>
      <c r="Z4271" s="2" t="s">
        <v>118</v>
      </c>
      <c r="AA4271" s="2" t="s">
        <v>191</v>
      </c>
      <c r="AB4271" s="2" t="s">
        <v>191</v>
      </c>
      <c r="AC4271" s="2" t="s">
        <v>40</v>
      </c>
      <c r="AF4271" s="2">
        <f>AJ4271</f>
        <v>0</v>
      </c>
      <c r="AG4271" s="2">
        <f>W4271</f>
        <v>27.5</v>
      </c>
      <c r="AI4271" s="2"/>
      <c r="AJ4271" s="2">
        <f>AI4271*T4271</f>
        <v>0</v>
      </c>
      <c r="AK4271" s="2">
        <f t="shared" si="683"/>
        <v>27.5</v>
      </c>
      <c r="AL4271" s="5">
        <f t="shared" si="684"/>
        <v>0.5</v>
      </c>
    </row>
    <row r="4272" spans="1:38" hidden="1" x14ac:dyDescent="0.2">
      <c r="A4272" s="8">
        <v>2026</v>
      </c>
      <c r="B4272" s="8">
        <v>6</v>
      </c>
      <c r="C4272" s="8"/>
      <c r="D4272" s="2" t="s">
        <v>2194</v>
      </c>
      <c r="P4272" s="2" t="s">
        <v>283</v>
      </c>
      <c r="Q4272" s="2" t="s">
        <v>1785</v>
      </c>
      <c r="R4272" s="2" t="s">
        <v>1786</v>
      </c>
      <c r="S4272" s="9">
        <v>1</v>
      </c>
      <c r="T4272" s="10">
        <v>1990</v>
      </c>
      <c r="U4272" s="2">
        <f t="shared" si="680"/>
        <v>457.70000000000005</v>
      </c>
      <c r="V4272" s="10">
        <f t="shared" si="681"/>
        <v>2447.6999999999998</v>
      </c>
      <c r="W4272" s="2">
        <v>1492.7</v>
      </c>
      <c r="X4272" s="5">
        <f t="shared" ref="X4272:X4335" si="685">(T4272-W4272)/T4272</f>
        <v>0.24989949748743717</v>
      </c>
      <c r="Z4272" s="2" t="s">
        <v>105</v>
      </c>
      <c r="AA4272" s="2" t="s">
        <v>388</v>
      </c>
      <c r="AB4272" s="2" t="s">
        <v>1333</v>
      </c>
      <c r="AC4272" s="2" t="s">
        <v>1330</v>
      </c>
      <c r="AI4272" s="2"/>
      <c r="AK4272" s="2">
        <f t="shared" ref="AK4272:AK4302" si="686">T4272-W4272</f>
        <v>497.29999999999995</v>
      </c>
      <c r="AL4272" s="5">
        <f t="shared" ref="AL4272:AL4302" si="687">(T4272-W4272)/T4272</f>
        <v>0.24989949748743717</v>
      </c>
    </row>
    <row r="4273" spans="1:38" hidden="1" x14ac:dyDescent="0.2">
      <c r="A4273" s="8">
        <v>2026</v>
      </c>
      <c r="B4273" s="8">
        <v>6</v>
      </c>
      <c r="C4273" s="8"/>
      <c r="D4273" s="2" t="s">
        <v>2194</v>
      </c>
      <c r="P4273" s="2" t="s">
        <v>283</v>
      </c>
      <c r="Q4273" s="2" t="s">
        <v>1331</v>
      </c>
      <c r="R4273" s="2" t="s">
        <v>1332</v>
      </c>
      <c r="S4273" s="9">
        <v>1</v>
      </c>
      <c r="T4273" s="10">
        <v>1990</v>
      </c>
      <c r="U4273" s="2">
        <f t="shared" si="680"/>
        <v>457.70000000000005</v>
      </c>
      <c r="V4273" s="10">
        <f t="shared" si="681"/>
        <v>2447.6999999999998</v>
      </c>
      <c r="W4273" s="2">
        <v>1578</v>
      </c>
      <c r="X4273" s="5">
        <f t="shared" si="685"/>
        <v>0.20703517587939699</v>
      </c>
      <c r="Z4273" s="2" t="s">
        <v>105</v>
      </c>
      <c r="AA4273" s="2" t="s">
        <v>388</v>
      </c>
      <c r="AB4273" s="2" t="s">
        <v>1333</v>
      </c>
      <c r="AC4273" s="2" t="s">
        <v>1330</v>
      </c>
      <c r="AI4273" s="2"/>
      <c r="AK4273" s="2">
        <f t="shared" si="686"/>
        <v>412</v>
      </c>
      <c r="AL4273" s="5">
        <f t="shared" si="687"/>
        <v>0.20703517587939699</v>
      </c>
    </row>
    <row r="4274" spans="1:38" hidden="1" x14ac:dyDescent="0.2">
      <c r="A4274" s="8">
        <v>2026</v>
      </c>
      <c r="B4274" s="8">
        <v>6</v>
      </c>
      <c r="C4274" s="8"/>
      <c r="D4274" s="2" t="s">
        <v>2648</v>
      </c>
      <c r="P4274" s="2" t="s">
        <v>283</v>
      </c>
      <c r="Q4274" s="2" t="s">
        <v>1237</v>
      </c>
      <c r="R4274" s="2" t="s">
        <v>1238</v>
      </c>
      <c r="S4274" s="9">
        <v>1</v>
      </c>
      <c r="T4274" s="10">
        <v>4200</v>
      </c>
      <c r="U4274" s="2">
        <f t="shared" si="680"/>
        <v>966</v>
      </c>
      <c r="V4274" s="10">
        <f t="shared" si="681"/>
        <v>5166</v>
      </c>
      <c r="W4274" s="2">
        <f>3203.85+43</f>
        <v>3246.85</v>
      </c>
      <c r="X4274" s="5">
        <f t="shared" si="685"/>
        <v>0.22694047619047622</v>
      </c>
      <c r="Z4274" s="2" t="s">
        <v>105</v>
      </c>
      <c r="AA4274" s="2" t="s">
        <v>1579</v>
      </c>
      <c r="AB4274" s="2" t="s">
        <v>389</v>
      </c>
      <c r="AC4274" s="2" t="s">
        <v>1330</v>
      </c>
      <c r="AI4274" s="2"/>
      <c r="AK4274" s="2">
        <f t="shared" si="686"/>
        <v>953.15000000000009</v>
      </c>
      <c r="AL4274" s="5">
        <f t="shared" si="687"/>
        <v>0.22694047619047622</v>
      </c>
    </row>
    <row r="4275" spans="1:38" hidden="1" x14ac:dyDescent="0.2">
      <c r="A4275" s="8">
        <v>2026</v>
      </c>
      <c r="B4275" s="8">
        <v>6</v>
      </c>
      <c r="C4275" s="8"/>
      <c r="D4275" s="2" t="s">
        <v>3109</v>
      </c>
      <c r="P4275" s="2" t="s">
        <v>283</v>
      </c>
      <c r="Q4275" s="2" t="s">
        <v>1331</v>
      </c>
      <c r="R4275" s="2" t="s">
        <v>1332</v>
      </c>
      <c r="S4275" s="9">
        <v>1</v>
      </c>
      <c r="T4275" s="10">
        <v>2150</v>
      </c>
      <c r="U4275" s="2">
        <f t="shared" si="680"/>
        <v>494.5</v>
      </c>
      <c r="V4275" s="10">
        <f t="shared" si="681"/>
        <v>2644.5</v>
      </c>
      <c r="W4275" s="2">
        <v>1578</v>
      </c>
      <c r="X4275" s="5">
        <f t="shared" si="685"/>
        <v>0.26604651162790699</v>
      </c>
      <c r="Z4275" s="2" t="s">
        <v>105</v>
      </c>
      <c r="AA4275" s="2" t="s">
        <v>388</v>
      </c>
      <c r="AB4275" s="2" t="s">
        <v>1333</v>
      </c>
      <c r="AC4275" s="2" t="s">
        <v>1330</v>
      </c>
      <c r="AI4275" s="2"/>
      <c r="AK4275" s="2">
        <f t="shared" si="686"/>
        <v>572</v>
      </c>
      <c r="AL4275" s="5">
        <f t="shared" si="687"/>
        <v>0.26604651162790699</v>
      </c>
    </row>
    <row r="4276" spans="1:38" hidden="1" x14ac:dyDescent="0.2">
      <c r="A4276" s="8">
        <v>2026</v>
      </c>
      <c r="B4276" s="8">
        <v>6</v>
      </c>
      <c r="C4276" s="8"/>
      <c r="D4276" s="2" t="s">
        <v>678</v>
      </c>
      <c r="P4276" s="2" t="s">
        <v>2697</v>
      </c>
      <c r="Q4276" s="2" t="s">
        <v>3101</v>
      </c>
      <c r="R4276" s="2" t="s">
        <v>3102</v>
      </c>
      <c r="S4276" s="9">
        <v>-4</v>
      </c>
      <c r="T4276" s="10">
        <v>-800</v>
      </c>
      <c r="U4276" s="2">
        <f t="shared" si="680"/>
        <v>-184</v>
      </c>
      <c r="V4276" s="10">
        <f t="shared" si="681"/>
        <v>-984</v>
      </c>
      <c r="W4276" s="2">
        <f>124*4</f>
        <v>496</v>
      </c>
      <c r="X4276" s="18">
        <f t="shared" ref="X4276:X4277" si="688">SIGN(T4276)*((ABS(T4276)-W4276)/ABS(T4276))</f>
        <v>-0.38</v>
      </c>
      <c r="Z4276" s="2" t="s">
        <v>3233</v>
      </c>
      <c r="AA4276" s="2" t="s">
        <v>3391</v>
      </c>
      <c r="AB4276" s="2" t="s">
        <v>3397</v>
      </c>
      <c r="AC4276" s="2" t="s">
        <v>3398</v>
      </c>
      <c r="AI4276" s="2"/>
      <c r="AK4276" s="2">
        <f t="shared" ref="AK4276:AK4277" si="689">T4276+(W4276)</f>
        <v>-304</v>
      </c>
      <c r="AL4276" s="18">
        <f t="shared" ref="AL4276:AL4277" si="690">SIGN(T4276)*((ABS(T4276)-W4276)/ABS(T4276))</f>
        <v>-0.38</v>
      </c>
    </row>
    <row r="4277" spans="1:38" hidden="1" x14ac:dyDescent="0.2">
      <c r="A4277" s="8">
        <v>2026</v>
      </c>
      <c r="B4277" s="8">
        <v>6</v>
      </c>
      <c r="C4277" s="8"/>
      <c r="D4277" s="2" t="s">
        <v>678</v>
      </c>
      <c r="P4277" s="2" t="s">
        <v>2697</v>
      </c>
      <c r="Q4277" s="2" t="s">
        <v>3103</v>
      </c>
      <c r="R4277" s="2" t="s">
        <v>3104</v>
      </c>
      <c r="S4277" s="9">
        <v>-4</v>
      </c>
      <c r="T4277" s="10">
        <v>-714.4</v>
      </c>
      <c r="U4277" s="2">
        <f t="shared" si="680"/>
        <v>-164.31200000000001</v>
      </c>
      <c r="V4277" s="10">
        <f t="shared" si="681"/>
        <v>-878.71199999999999</v>
      </c>
      <c r="W4277" s="2">
        <f>125*4</f>
        <v>500</v>
      </c>
      <c r="X4277" s="18">
        <f t="shared" si="688"/>
        <v>-0.30011198208286671</v>
      </c>
      <c r="Z4277" s="2" t="s">
        <v>3233</v>
      </c>
      <c r="AA4277" s="2" t="s">
        <v>3391</v>
      </c>
      <c r="AB4277" s="2" t="s">
        <v>3397</v>
      </c>
      <c r="AC4277" s="2" t="s">
        <v>3398</v>
      </c>
      <c r="AI4277" s="2"/>
      <c r="AK4277" s="2">
        <f t="shared" si="689"/>
        <v>-214.39999999999998</v>
      </c>
      <c r="AL4277" s="18">
        <f t="shared" si="690"/>
        <v>-0.30011198208286671</v>
      </c>
    </row>
    <row r="4278" spans="1:38" hidden="1" x14ac:dyDescent="0.2">
      <c r="A4278" s="8">
        <v>2026</v>
      </c>
      <c r="B4278" s="8">
        <v>6</v>
      </c>
      <c r="C4278" s="8"/>
      <c r="D4278" s="2" t="s">
        <v>470</v>
      </c>
      <c r="E4278" s="2" t="s">
        <v>38</v>
      </c>
      <c r="F4278" s="2" t="s">
        <v>471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340</v>
      </c>
      <c r="M4278" s="2" t="s">
        <v>40</v>
      </c>
      <c r="O4278" s="2" t="s">
        <v>3236</v>
      </c>
      <c r="P4278" s="2" t="s">
        <v>283</v>
      </c>
      <c r="Q4278" s="6" t="s">
        <v>3235</v>
      </c>
      <c r="R4278" s="2" t="s">
        <v>1157</v>
      </c>
      <c r="S4278" s="8">
        <v>1</v>
      </c>
      <c r="T4278" s="2">
        <v>2900</v>
      </c>
      <c r="U4278" s="2">
        <f t="shared" si="680"/>
        <v>667</v>
      </c>
      <c r="V4278" s="10">
        <f>U4278+T4278</f>
        <v>3567</v>
      </c>
      <c r="W4278" s="2">
        <v>2190</v>
      </c>
      <c r="X4278" s="5">
        <f t="shared" si="685"/>
        <v>0.24482758620689654</v>
      </c>
      <c r="Z4278" s="2" t="s">
        <v>105</v>
      </c>
      <c r="AA4278" s="2" t="s">
        <v>1579</v>
      </c>
      <c r="AB4278" s="2" t="s">
        <v>389</v>
      </c>
      <c r="AC4278" s="2" t="s">
        <v>1330</v>
      </c>
      <c r="AK4278" s="2">
        <f t="shared" si="686"/>
        <v>710</v>
      </c>
      <c r="AL4278" s="5">
        <f t="shared" si="687"/>
        <v>0.24482758620689654</v>
      </c>
    </row>
    <row r="4279" spans="1:38" hidden="1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3236</v>
      </c>
      <c r="P4279" s="2" t="s">
        <v>283</v>
      </c>
      <c r="Q4279" s="6" t="s">
        <v>1160</v>
      </c>
      <c r="R4279" s="2" t="s">
        <v>1161</v>
      </c>
      <c r="S4279" s="8">
        <v>1</v>
      </c>
      <c r="T4279" s="2">
        <v>0</v>
      </c>
      <c r="U4279" s="2">
        <v>0</v>
      </c>
      <c r="V4279" s="2">
        <v>0</v>
      </c>
      <c r="W4279" s="2">
        <v>0</v>
      </c>
      <c r="X4279" s="18">
        <v>-1</v>
      </c>
      <c r="Z4279" s="2" t="s">
        <v>105</v>
      </c>
      <c r="AA4279" s="2" t="s">
        <v>1579</v>
      </c>
      <c r="AB4279" s="2" t="s">
        <v>389</v>
      </c>
      <c r="AC4279" s="2" t="s">
        <v>1330</v>
      </c>
      <c r="AK4279" s="2">
        <f t="shared" si="686"/>
        <v>0</v>
      </c>
      <c r="AL4279" s="18">
        <v>-1</v>
      </c>
    </row>
    <row r="4280" spans="1:38" hidden="1" x14ac:dyDescent="0.2">
      <c r="A4280" s="2">
        <v>2026</v>
      </c>
      <c r="B4280" s="2">
        <v>7</v>
      </c>
      <c r="C4280" s="2" t="s">
        <v>3301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3277</v>
      </c>
      <c r="M4280" s="2" t="s">
        <v>41</v>
      </c>
      <c r="O4280" s="2" t="s">
        <v>3274</v>
      </c>
      <c r="P4280" s="2" t="s">
        <v>43</v>
      </c>
      <c r="Q4280" s="2" t="s">
        <v>44</v>
      </c>
      <c r="R4280" s="2" t="s">
        <v>45</v>
      </c>
      <c r="S4280" s="13">
        <v>1</v>
      </c>
      <c r="T4280" s="14">
        <v>25.2</v>
      </c>
      <c r="U4280" s="2">
        <f>T4280*23%</f>
        <v>5.7960000000000003</v>
      </c>
      <c r="V4280" s="12">
        <f>T4280+U4280</f>
        <v>30.995999999999999</v>
      </c>
      <c r="W4280" s="2">
        <v>14.535</v>
      </c>
      <c r="X4280" s="5">
        <f t="shared" si="685"/>
        <v>0.42321428571428571</v>
      </c>
      <c r="Z4280" s="2" t="s">
        <v>3233</v>
      </c>
      <c r="AA4280" s="2" t="s">
        <v>46</v>
      </c>
      <c r="AB4280" s="2" t="s">
        <v>47</v>
      </c>
      <c r="AC4280" s="2" t="s">
        <v>48</v>
      </c>
      <c r="AK4280" s="2">
        <f t="shared" si="686"/>
        <v>10.664999999999999</v>
      </c>
      <c r="AL4280" s="5">
        <f t="shared" si="687"/>
        <v>0.42321428571428571</v>
      </c>
    </row>
    <row r="4281" spans="1:38" hidden="1" x14ac:dyDescent="0.2">
      <c r="A4281" s="2">
        <v>2026</v>
      </c>
      <c r="B4281" s="2">
        <v>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3277</v>
      </c>
      <c r="M4281" s="2" t="s">
        <v>41</v>
      </c>
      <c r="O4281" s="2" t="s">
        <v>3274</v>
      </c>
      <c r="P4281" s="2" t="s">
        <v>43</v>
      </c>
      <c r="Q4281" s="2" t="s">
        <v>159</v>
      </c>
      <c r="R4281" s="2" t="s">
        <v>160</v>
      </c>
      <c r="S4281" s="13">
        <v>1</v>
      </c>
      <c r="T4281" s="14">
        <v>21</v>
      </c>
      <c r="U4281" s="2">
        <f t="shared" ref="U4281:U4302" si="691">T4281*23%</f>
        <v>4.83</v>
      </c>
      <c r="V4281" s="12">
        <f t="shared" ref="V4281:V4287" si="692">T4281+U4281</f>
        <v>25.83</v>
      </c>
      <c r="W4281" s="2">
        <f>9.3*S4281</f>
        <v>9.3000000000000007</v>
      </c>
      <c r="X4281" s="5">
        <f t="shared" si="685"/>
        <v>0.55714285714285716</v>
      </c>
      <c r="Z4281" s="2" t="s">
        <v>3233</v>
      </c>
      <c r="AA4281" s="2" t="s">
        <v>46</v>
      </c>
      <c r="AB4281" s="2" t="s">
        <v>47</v>
      </c>
      <c r="AC4281" s="2" t="s">
        <v>48</v>
      </c>
      <c r="AK4281" s="2">
        <f t="shared" si="686"/>
        <v>11.7</v>
      </c>
      <c r="AL4281" s="5">
        <f t="shared" si="687"/>
        <v>0.55714285714285716</v>
      </c>
    </row>
    <row r="4282" spans="1:38" hidden="1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3277</v>
      </c>
      <c r="M4282" s="2" t="s">
        <v>41</v>
      </c>
      <c r="O4282" s="2" t="s">
        <v>3274</v>
      </c>
      <c r="P4282" s="2" t="s">
        <v>43</v>
      </c>
      <c r="Q4282" s="2" t="s">
        <v>49</v>
      </c>
      <c r="R4282" s="2" t="s">
        <v>50</v>
      </c>
      <c r="S4282" s="13">
        <v>1</v>
      </c>
      <c r="T4282" s="14">
        <v>13</v>
      </c>
      <c r="U4282" s="2">
        <f t="shared" si="691"/>
        <v>2.99</v>
      </c>
      <c r="V4282" s="12">
        <f t="shared" si="692"/>
        <v>15.99</v>
      </c>
      <c r="W4282" s="2">
        <f>6.6267*S4282</f>
        <v>6.6266999999999996</v>
      </c>
      <c r="X4282" s="5">
        <f t="shared" si="685"/>
        <v>0.49025384615384621</v>
      </c>
      <c r="Z4282" s="2" t="s">
        <v>3233</v>
      </c>
      <c r="AA4282" s="2" t="s">
        <v>46</v>
      </c>
      <c r="AB4282" s="2" t="s">
        <v>47</v>
      </c>
      <c r="AC4282" s="2" t="s">
        <v>48</v>
      </c>
      <c r="AK4282" s="2">
        <f t="shared" si="686"/>
        <v>6.3733000000000004</v>
      </c>
      <c r="AL4282" s="5">
        <f t="shared" si="687"/>
        <v>0.49025384615384621</v>
      </c>
    </row>
    <row r="4283" spans="1:38" hidden="1" x14ac:dyDescent="0.2">
      <c r="A4283" s="2">
        <v>2026</v>
      </c>
      <c r="B4283" s="2">
        <v>7</v>
      </c>
      <c r="C4283" s="2" t="s">
        <v>3302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3277</v>
      </c>
      <c r="M4283" s="2" t="s">
        <v>81</v>
      </c>
      <c r="O4283" s="2" t="s">
        <v>3275</v>
      </c>
      <c r="P4283" s="2" t="s">
        <v>43</v>
      </c>
      <c r="Q4283" s="2" t="s">
        <v>51</v>
      </c>
      <c r="R4283" s="2" t="s">
        <v>52</v>
      </c>
      <c r="S4283" s="13">
        <v>1</v>
      </c>
      <c r="T4283" s="14">
        <v>18</v>
      </c>
      <c r="U4283" s="2">
        <f t="shared" si="691"/>
        <v>4.1400000000000006</v>
      </c>
      <c r="V4283" s="12">
        <f t="shared" si="692"/>
        <v>22.14</v>
      </c>
      <c r="W4283" s="2">
        <f>14.4*S4283</f>
        <v>14.4</v>
      </c>
      <c r="X4283" s="5">
        <f t="shared" si="685"/>
        <v>0.19999999999999998</v>
      </c>
      <c r="Z4283" s="2" t="s">
        <v>3233</v>
      </c>
      <c r="AA4283" s="2" t="s">
        <v>46</v>
      </c>
      <c r="AB4283" s="2" t="s">
        <v>47</v>
      </c>
      <c r="AC4283" s="2" t="s">
        <v>48</v>
      </c>
      <c r="AK4283" s="2">
        <f t="shared" si="686"/>
        <v>3.5999999999999996</v>
      </c>
      <c r="AL4283" s="5">
        <f t="shared" si="687"/>
        <v>0.19999999999999998</v>
      </c>
    </row>
    <row r="4284" spans="1:38" hidden="1" x14ac:dyDescent="0.2">
      <c r="A4284" s="2">
        <v>2026</v>
      </c>
      <c r="B4284" s="2">
        <v>7</v>
      </c>
      <c r="C4284" s="2" t="s">
        <v>3302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3277</v>
      </c>
      <c r="M4284" s="2" t="s">
        <v>81</v>
      </c>
      <c r="O4284" s="2" t="s">
        <v>3275</v>
      </c>
      <c r="P4284" s="2" t="s">
        <v>43</v>
      </c>
      <c r="Q4284" s="2" t="s">
        <v>55</v>
      </c>
      <c r="R4284" s="2" t="s">
        <v>56</v>
      </c>
      <c r="S4284" s="13">
        <v>2</v>
      </c>
      <c r="T4284" s="14">
        <v>30</v>
      </c>
      <c r="U4284" s="2">
        <f t="shared" si="691"/>
        <v>6.9</v>
      </c>
      <c r="V4284" s="12">
        <f t="shared" si="692"/>
        <v>36.9</v>
      </c>
      <c r="X4284" s="5">
        <f t="shared" si="685"/>
        <v>1</v>
      </c>
      <c r="Z4284" s="2" t="s">
        <v>3233</v>
      </c>
      <c r="AA4284" s="2" t="s">
        <v>46</v>
      </c>
      <c r="AB4284" s="2" t="s">
        <v>57</v>
      </c>
      <c r="AC4284" s="2" t="s">
        <v>58</v>
      </c>
      <c r="AK4284" s="2">
        <f t="shared" si="686"/>
        <v>30</v>
      </c>
      <c r="AL4284" s="5">
        <f t="shared" si="687"/>
        <v>1</v>
      </c>
    </row>
    <row r="4285" spans="1:38" hidden="1" x14ac:dyDescent="0.2">
      <c r="A4285" s="2">
        <v>2026</v>
      </c>
      <c r="B4285" s="2">
        <v>7</v>
      </c>
      <c r="C4285" s="2" t="s">
        <v>3302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3277</v>
      </c>
      <c r="M4285" s="2" t="s">
        <v>81</v>
      </c>
      <c r="O4285" s="2" t="s">
        <v>3275</v>
      </c>
      <c r="P4285" s="2" t="s">
        <v>43</v>
      </c>
      <c r="Q4285" s="2" t="s">
        <v>163</v>
      </c>
      <c r="R4285" s="2" t="s">
        <v>164</v>
      </c>
      <c r="S4285" s="13">
        <v>2</v>
      </c>
      <c r="T4285" s="14">
        <v>24</v>
      </c>
      <c r="U4285" s="2">
        <f t="shared" si="691"/>
        <v>5.5200000000000005</v>
      </c>
      <c r="V4285" s="12">
        <f t="shared" si="692"/>
        <v>29.52</v>
      </c>
      <c r="X4285" s="5">
        <f t="shared" si="685"/>
        <v>1</v>
      </c>
      <c r="Z4285" s="2" t="s">
        <v>3233</v>
      </c>
      <c r="AA4285" s="2" t="s">
        <v>46</v>
      </c>
      <c r="AB4285" s="2" t="s">
        <v>47</v>
      </c>
      <c r="AC4285" s="2" t="s">
        <v>48</v>
      </c>
      <c r="AK4285" s="2">
        <f t="shared" si="686"/>
        <v>24</v>
      </c>
      <c r="AL4285" s="5">
        <f t="shared" si="687"/>
        <v>1</v>
      </c>
    </row>
    <row r="4286" spans="1:38" hidden="1" x14ac:dyDescent="0.2">
      <c r="A4286" s="2">
        <v>2026</v>
      </c>
      <c r="B4286" s="2">
        <v>7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3277</v>
      </c>
      <c r="M4286" s="2" t="s">
        <v>81</v>
      </c>
      <c r="O4286" s="2" t="s">
        <v>3276</v>
      </c>
      <c r="P4286" s="2" t="s">
        <v>1040</v>
      </c>
      <c r="Q4286" s="2" t="s">
        <v>3272</v>
      </c>
      <c r="R4286" s="2" t="s">
        <v>3273</v>
      </c>
      <c r="S4286" s="13">
        <v>1</v>
      </c>
      <c r="T4286" s="14">
        <v>187</v>
      </c>
      <c r="U4286" s="2">
        <f t="shared" si="691"/>
        <v>43.010000000000005</v>
      </c>
      <c r="V4286" s="12">
        <f t="shared" si="692"/>
        <v>230.01</v>
      </c>
      <c r="W4286" s="2">
        <v>141.16</v>
      </c>
      <c r="X4286" s="5">
        <f t="shared" si="685"/>
        <v>0.24513368983957221</v>
      </c>
      <c r="Z4286" s="2" t="s">
        <v>3233</v>
      </c>
      <c r="AA4286" s="2" t="s">
        <v>76</v>
      </c>
      <c r="AB4286" s="2" t="s">
        <v>77</v>
      </c>
      <c r="AC4286" s="2" t="s">
        <v>1040</v>
      </c>
      <c r="AK4286" s="2">
        <f t="shared" si="686"/>
        <v>45.84</v>
      </c>
      <c r="AL4286" s="5">
        <f t="shared" si="687"/>
        <v>0.24513368983957221</v>
      </c>
    </row>
    <row r="4287" spans="1:38" hidden="1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3277</v>
      </c>
      <c r="M4287" s="2" t="s">
        <v>81</v>
      </c>
      <c r="O4287" s="2" t="s">
        <v>3276</v>
      </c>
      <c r="P4287" s="2" t="s">
        <v>94</v>
      </c>
      <c r="Q4287" s="2" t="s">
        <v>95</v>
      </c>
      <c r="R4287" s="2" t="s">
        <v>96</v>
      </c>
      <c r="S4287" s="13">
        <v>1</v>
      </c>
      <c r="T4287" s="14">
        <v>1.48</v>
      </c>
      <c r="U4287" s="2">
        <f t="shared" si="691"/>
        <v>0.34040000000000004</v>
      </c>
      <c r="V4287" s="12">
        <f t="shared" si="692"/>
        <v>1.8204</v>
      </c>
      <c r="W4287" s="2">
        <v>1.48</v>
      </c>
      <c r="X4287" s="5">
        <f t="shared" si="685"/>
        <v>0</v>
      </c>
      <c r="Z4287" s="2" t="s">
        <v>3233</v>
      </c>
      <c r="AA4287" s="2" t="s">
        <v>97</v>
      </c>
      <c r="AB4287" s="2" t="s">
        <v>77</v>
      </c>
      <c r="AC4287" s="2" t="s">
        <v>94</v>
      </c>
      <c r="AK4287" s="2">
        <f t="shared" si="686"/>
        <v>0</v>
      </c>
      <c r="AL4287" s="5">
        <f t="shared" si="687"/>
        <v>0</v>
      </c>
    </row>
    <row r="4288" spans="1:38" hidden="1" x14ac:dyDescent="0.2">
      <c r="A4288" s="2">
        <v>2026</v>
      </c>
      <c r="B4288" s="2">
        <v>7</v>
      </c>
      <c r="C4288" s="2" t="s">
        <v>3302</v>
      </c>
      <c r="D4288" s="2" t="s">
        <v>1470</v>
      </c>
      <c r="E4288" s="2" t="s">
        <v>38</v>
      </c>
      <c r="F4288" s="2" t="s">
        <v>39</v>
      </c>
      <c r="H4288" s="2" t="s">
        <v>110</v>
      </c>
      <c r="I4288" s="2" t="s">
        <v>1471</v>
      </c>
      <c r="L4288" s="2" t="s">
        <v>361</v>
      </c>
      <c r="M4288" s="2" t="s">
        <v>81</v>
      </c>
      <c r="O4288" s="2" t="s">
        <v>3286</v>
      </c>
      <c r="P4288" s="2" t="s">
        <v>73</v>
      </c>
      <c r="Q4288" s="2" t="s">
        <v>3034</v>
      </c>
      <c r="R4288" s="2" t="s">
        <v>332</v>
      </c>
      <c r="S4288" s="13">
        <v>1</v>
      </c>
      <c r="T4288" s="14">
        <v>220</v>
      </c>
      <c r="U4288" s="2">
        <f t="shared" si="691"/>
        <v>50.6</v>
      </c>
      <c r="V4288" s="12">
        <f t="shared" ref="V4288:V4303" si="693">T4288+U4288</f>
        <v>270.60000000000002</v>
      </c>
      <c r="W4288" s="2">
        <v>113.4</v>
      </c>
      <c r="X4288" s="5">
        <f t="shared" si="685"/>
        <v>0.4845454545454545</v>
      </c>
      <c r="Z4288" s="2" t="s">
        <v>3233</v>
      </c>
      <c r="AA4288" s="2" t="s">
        <v>76</v>
      </c>
      <c r="AB4288" s="2" t="s">
        <v>77</v>
      </c>
      <c r="AC4288" s="2" t="s">
        <v>78</v>
      </c>
      <c r="AK4288" s="2">
        <f t="shared" si="686"/>
        <v>106.6</v>
      </c>
      <c r="AL4288" s="5">
        <f t="shared" si="687"/>
        <v>0.4845454545454545</v>
      </c>
    </row>
    <row r="4289" spans="1:38" hidden="1" x14ac:dyDescent="0.2">
      <c r="A4289" s="2">
        <v>2026</v>
      </c>
      <c r="B4289" s="2">
        <v>7</v>
      </c>
      <c r="C4289" s="2" t="s">
        <v>3302</v>
      </c>
      <c r="D4289" s="2" t="s">
        <v>1470</v>
      </c>
      <c r="E4289" s="2" t="s">
        <v>38</v>
      </c>
      <c r="F4289" s="2" t="s">
        <v>39</v>
      </c>
      <c r="H4289" s="2" t="s">
        <v>110</v>
      </c>
      <c r="I4289" s="2" t="s">
        <v>1471</v>
      </c>
      <c r="L4289" s="2" t="s">
        <v>361</v>
      </c>
      <c r="M4289" s="2" t="s">
        <v>81</v>
      </c>
      <c r="O4289" s="2" t="s">
        <v>3286</v>
      </c>
      <c r="P4289" s="2" t="s">
        <v>94</v>
      </c>
      <c r="Q4289" s="2" t="s">
        <v>95</v>
      </c>
      <c r="R4289" s="2" t="s">
        <v>96</v>
      </c>
      <c r="S4289" s="13">
        <v>1</v>
      </c>
      <c r="T4289" s="14">
        <v>1.48</v>
      </c>
      <c r="U4289" s="2">
        <f t="shared" si="691"/>
        <v>0.34040000000000004</v>
      </c>
      <c r="V4289" s="12">
        <f t="shared" si="693"/>
        <v>1.8204</v>
      </c>
      <c r="W4289" s="2">
        <v>1.48</v>
      </c>
      <c r="X4289" s="5">
        <f t="shared" si="685"/>
        <v>0</v>
      </c>
      <c r="Z4289" s="2" t="s">
        <v>3233</v>
      </c>
      <c r="AA4289" s="2" t="s">
        <v>97</v>
      </c>
      <c r="AB4289" s="2" t="s">
        <v>77</v>
      </c>
      <c r="AC4289" s="2" t="s">
        <v>94</v>
      </c>
      <c r="AK4289" s="2">
        <f t="shared" si="686"/>
        <v>0</v>
      </c>
      <c r="AL4289" s="5">
        <f t="shared" si="687"/>
        <v>0</v>
      </c>
    </row>
    <row r="4290" spans="1:38" hidden="1" x14ac:dyDescent="0.2">
      <c r="A4290" s="2">
        <v>2026</v>
      </c>
      <c r="B4290" s="2">
        <v>7</v>
      </c>
      <c r="D4290" s="2" t="s">
        <v>1155</v>
      </c>
      <c r="E4290" s="2" t="s">
        <v>109</v>
      </c>
      <c r="F4290" s="2" t="s">
        <v>532</v>
      </c>
      <c r="H4290" s="2" t="s">
        <v>40</v>
      </c>
      <c r="I4290" s="2" t="s">
        <v>3292</v>
      </c>
      <c r="L4290" s="2" t="s">
        <v>340</v>
      </c>
      <c r="M4290" s="2" t="s">
        <v>40</v>
      </c>
      <c r="O4290" s="2" t="s">
        <v>3293</v>
      </c>
      <c r="P4290" s="2" t="s">
        <v>283</v>
      </c>
      <c r="Q4290" s="2" t="s">
        <v>3003</v>
      </c>
      <c r="R4290" s="2" t="s">
        <v>3004</v>
      </c>
      <c r="S4290" s="13">
        <v>1</v>
      </c>
      <c r="T4290" s="14">
        <v>1190</v>
      </c>
      <c r="U4290" s="2">
        <f t="shared" si="691"/>
        <v>273.7</v>
      </c>
      <c r="V4290" s="12">
        <f t="shared" si="693"/>
        <v>1463.7</v>
      </c>
      <c r="W4290" s="2">
        <v>773.5</v>
      </c>
      <c r="X4290" s="5">
        <f t="shared" si="685"/>
        <v>0.35</v>
      </c>
      <c r="Z4290" s="2" t="s">
        <v>118</v>
      </c>
      <c r="AK4290" s="2">
        <f t="shared" si="686"/>
        <v>416.5</v>
      </c>
      <c r="AL4290" s="5">
        <f t="shared" si="687"/>
        <v>0.35</v>
      </c>
    </row>
    <row r="4291" spans="1:38" hidden="1" x14ac:dyDescent="0.2">
      <c r="A4291" s="2">
        <v>2026</v>
      </c>
      <c r="B4291" s="2">
        <v>7</v>
      </c>
      <c r="C4291" s="2" t="s">
        <v>3302</v>
      </c>
      <c r="D4291" s="2" t="s">
        <v>3278</v>
      </c>
      <c r="E4291" s="2" t="s">
        <v>38</v>
      </c>
      <c r="F4291" s="2" t="s">
        <v>39</v>
      </c>
      <c r="H4291" s="2" t="s">
        <v>291</v>
      </c>
      <c r="I4291" s="2" t="s">
        <v>3288</v>
      </c>
      <c r="L4291" s="2" t="s">
        <v>340</v>
      </c>
      <c r="M4291" s="2" t="s">
        <v>81</v>
      </c>
      <c r="O4291" s="2" t="s">
        <v>3287</v>
      </c>
      <c r="P4291" s="2" t="s">
        <v>73</v>
      </c>
      <c r="Q4291" s="2" t="s">
        <v>914</v>
      </c>
      <c r="R4291" s="2" t="s">
        <v>75</v>
      </c>
      <c r="S4291" s="13">
        <v>1</v>
      </c>
      <c r="T4291" s="14">
        <v>230.23</v>
      </c>
      <c r="U4291" s="2">
        <f t="shared" si="691"/>
        <v>52.9529</v>
      </c>
      <c r="V4291" s="12">
        <f t="shared" si="693"/>
        <v>283.18290000000002</v>
      </c>
      <c r="W4291" s="2">
        <f>115.92+6.06</f>
        <v>121.98</v>
      </c>
      <c r="X4291" s="5">
        <f t="shared" si="685"/>
        <v>0.47018199192112231</v>
      </c>
      <c r="Z4291" s="2" t="s">
        <v>3233</v>
      </c>
      <c r="AA4291" s="2" t="s">
        <v>76</v>
      </c>
      <c r="AB4291" s="2" t="s">
        <v>77</v>
      </c>
      <c r="AC4291" s="2" t="s">
        <v>78</v>
      </c>
      <c r="AK4291" s="2">
        <f t="shared" si="686"/>
        <v>108.24999999999999</v>
      </c>
      <c r="AL4291" s="5">
        <f t="shared" si="687"/>
        <v>0.47018199192112231</v>
      </c>
    </row>
    <row r="4292" spans="1:38" hidden="1" x14ac:dyDescent="0.2">
      <c r="A4292" s="2">
        <v>2026</v>
      </c>
      <c r="B4292" s="2">
        <v>7</v>
      </c>
      <c r="C4292" s="2" t="s">
        <v>3302</v>
      </c>
      <c r="D4292" s="2" t="s">
        <v>3278</v>
      </c>
      <c r="E4292" s="2" t="s">
        <v>38</v>
      </c>
      <c r="F4292" s="2" t="s">
        <v>39</v>
      </c>
      <c r="H4292" s="2" t="s">
        <v>291</v>
      </c>
      <c r="I4292" s="2" t="s">
        <v>3288</v>
      </c>
      <c r="L4292" s="2" t="s">
        <v>340</v>
      </c>
      <c r="M4292" s="2" t="s">
        <v>81</v>
      </c>
      <c r="O4292" s="2" t="s">
        <v>3287</v>
      </c>
      <c r="P4292" s="2" t="s">
        <v>94</v>
      </c>
      <c r="Q4292" s="2" t="s">
        <v>95</v>
      </c>
      <c r="R4292" s="2" t="s">
        <v>96</v>
      </c>
      <c r="S4292" s="13">
        <v>1</v>
      </c>
      <c r="T4292" s="14">
        <v>1.48</v>
      </c>
      <c r="U4292" s="2">
        <f t="shared" si="691"/>
        <v>0.34040000000000004</v>
      </c>
      <c r="V4292" s="12">
        <f t="shared" si="693"/>
        <v>1.8204</v>
      </c>
      <c r="W4292" s="2">
        <v>1.48</v>
      </c>
      <c r="X4292" s="5">
        <f t="shared" si="685"/>
        <v>0</v>
      </c>
      <c r="Z4292" s="2" t="s">
        <v>3233</v>
      </c>
      <c r="AA4292" s="2" t="s">
        <v>97</v>
      </c>
      <c r="AB4292" s="2" t="s">
        <v>77</v>
      </c>
      <c r="AC4292" s="2" t="s">
        <v>94</v>
      </c>
      <c r="AK4292" s="2">
        <f t="shared" si="686"/>
        <v>0</v>
      </c>
      <c r="AL4292" s="5">
        <f t="shared" si="687"/>
        <v>0</v>
      </c>
    </row>
    <row r="4293" spans="1:38" hidden="1" x14ac:dyDescent="0.2">
      <c r="A4293" s="2">
        <v>2026</v>
      </c>
      <c r="B4293" s="2">
        <v>7</v>
      </c>
      <c r="D4293" s="2" t="s">
        <v>3279</v>
      </c>
      <c r="E4293" s="2" t="s">
        <v>753</v>
      </c>
      <c r="F4293" s="2" t="s">
        <v>920</v>
      </c>
      <c r="H4293" s="2" t="s">
        <v>40</v>
      </c>
      <c r="I4293" s="2" t="s">
        <v>3294</v>
      </c>
      <c r="L4293" s="2" t="s">
        <v>100</v>
      </c>
      <c r="M4293" s="2" t="s">
        <v>40</v>
      </c>
      <c r="O4293" s="2" t="s">
        <v>3295</v>
      </c>
      <c r="P4293" s="2" t="s">
        <v>115</v>
      </c>
      <c r="Q4293" s="2" t="s">
        <v>906</v>
      </c>
      <c r="R4293" s="2" t="s">
        <v>907</v>
      </c>
      <c r="S4293" s="13">
        <v>1</v>
      </c>
      <c r="T4293" s="14">
        <v>699.3</v>
      </c>
      <c r="U4293" s="2">
        <f t="shared" si="691"/>
        <v>160.839</v>
      </c>
      <c r="V4293" s="12">
        <f t="shared" si="693"/>
        <v>860.1389999999999</v>
      </c>
      <c r="W4293" s="2">
        <v>345.20339999999999</v>
      </c>
      <c r="X4293" s="5">
        <f t="shared" si="685"/>
        <v>0.50635864435864431</v>
      </c>
      <c r="Z4293" s="2" t="s">
        <v>118</v>
      </c>
      <c r="AA4293" s="2" t="s">
        <v>182</v>
      </c>
      <c r="AB4293" s="2" t="s">
        <v>120</v>
      </c>
      <c r="AC4293" s="2" t="s">
        <v>115</v>
      </c>
      <c r="AK4293" s="2">
        <f t="shared" si="686"/>
        <v>354.09659999999997</v>
      </c>
      <c r="AL4293" s="5">
        <f t="shared" si="687"/>
        <v>0.50635864435864431</v>
      </c>
    </row>
    <row r="4294" spans="1:38" hidden="1" x14ac:dyDescent="0.2">
      <c r="A4294" s="2">
        <v>2026</v>
      </c>
      <c r="B4294" s="2">
        <v>7</v>
      </c>
      <c r="D4294" s="2" t="s">
        <v>3279</v>
      </c>
      <c r="E4294" s="2" t="s">
        <v>753</v>
      </c>
      <c r="F4294" s="2" t="s">
        <v>920</v>
      </c>
      <c r="H4294" s="2" t="s">
        <v>40</v>
      </c>
      <c r="I4294" s="2" t="s">
        <v>3294</v>
      </c>
      <c r="L4294" s="2" t="s">
        <v>100</v>
      </c>
      <c r="M4294" s="2" t="s">
        <v>40</v>
      </c>
      <c r="O4294" s="2" t="s">
        <v>3295</v>
      </c>
      <c r="P4294" s="2" t="s">
        <v>188</v>
      </c>
      <c r="Q4294" s="2" t="s">
        <v>189</v>
      </c>
      <c r="R4294" s="2" t="s">
        <v>190</v>
      </c>
      <c r="S4294" s="13">
        <v>1</v>
      </c>
      <c r="T4294" s="14">
        <v>55</v>
      </c>
      <c r="U4294" s="2">
        <f t="shared" si="691"/>
        <v>12.65</v>
      </c>
      <c r="V4294" s="12">
        <f t="shared" si="693"/>
        <v>67.650000000000006</v>
      </c>
      <c r="W4294" s="2">
        <f>T4294*40%</f>
        <v>22</v>
      </c>
      <c r="X4294" s="5">
        <f t="shared" si="685"/>
        <v>0.6</v>
      </c>
      <c r="Z4294" s="2" t="s">
        <v>118</v>
      </c>
      <c r="AA4294" s="2" t="s">
        <v>191</v>
      </c>
      <c r="AB4294" s="2" t="s">
        <v>190</v>
      </c>
      <c r="AC4294" s="2" t="s">
        <v>40</v>
      </c>
      <c r="AK4294" s="2">
        <f t="shared" si="686"/>
        <v>33</v>
      </c>
      <c r="AL4294" s="5">
        <f t="shared" si="687"/>
        <v>0.6</v>
      </c>
    </row>
    <row r="4295" spans="1:38" hidden="1" x14ac:dyDescent="0.2">
      <c r="A4295" s="2">
        <v>2026</v>
      </c>
      <c r="B4295" s="2">
        <v>7</v>
      </c>
      <c r="D4295" s="2" t="s">
        <v>3279</v>
      </c>
      <c r="E4295" s="2" t="s">
        <v>753</v>
      </c>
      <c r="F4295" s="2" t="s">
        <v>920</v>
      </c>
      <c r="H4295" s="2" t="s">
        <v>40</v>
      </c>
      <c r="I4295" s="2" t="s">
        <v>3294</v>
      </c>
      <c r="L4295" s="2" t="s">
        <v>100</v>
      </c>
      <c r="M4295" s="2" t="s">
        <v>40</v>
      </c>
      <c r="O4295" s="2" t="s">
        <v>3295</v>
      </c>
      <c r="P4295" s="2" t="s">
        <v>188</v>
      </c>
      <c r="Q4295" s="2" t="s">
        <v>192</v>
      </c>
      <c r="R4295" s="2" t="s">
        <v>191</v>
      </c>
      <c r="S4295" s="13">
        <v>0.5</v>
      </c>
      <c r="T4295" s="14">
        <v>27.5</v>
      </c>
      <c r="U4295" s="2">
        <f t="shared" si="691"/>
        <v>6.3250000000000002</v>
      </c>
      <c r="V4295" s="12">
        <f t="shared" si="693"/>
        <v>33.825000000000003</v>
      </c>
      <c r="W4295" s="2">
        <f>T4295*50%</f>
        <v>13.75</v>
      </c>
      <c r="X4295" s="5">
        <f t="shared" si="685"/>
        <v>0.5</v>
      </c>
      <c r="Z4295" s="2" t="s">
        <v>118</v>
      </c>
      <c r="AA4295" s="2" t="s">
        <v>191</v>
      </c>
      <c r="AB4295" s="2" t="s">
        <v>191</v>
      </c>
      <c r="AC4295" s="2" t="s">
        <v>40</v>
      </c>
      <c r="AK4295" s="2">
        <f t="shared" si="686"/>
        <v>13.75</v>
      </c>
      <c r="AL4295" s="5">
        <f t="shared" si="687"/>
        <v>0.5</v>
      </c>
    </row>
    <row r="4296" spans="1:38" hidden="1" x14ac:dyDescent="0.2">
      <c r="A4296" s="2">
        <v>2026</v>
      </c>
      <c r="B4296" s="2">
        <v>7</v>
      </c>
      <c r="C4296" s="2" t="s">
        <v>3302</v>
      </c>
      <c r="D4296" s="2" t="s">
        <v>3280</v>
      </c>
      <c r="E4296" s="2" t="s">
        <v>109</v>
      </c>
      <c r="F4296" s="2" t="s">
        <v>39</v>
      </c>
      <c r="H4296" s="2" t="s">
        <v>291</v>
      </c>
      <c r="I4296" s="2" t="s">
        <v>3296</v>
      </c>
      <c r="L4296" s="2" t="s">
        <v>294</v>
      </c>
      <c r="M4296" s="2" t="s">
        <v>81</v>
      </c>
      <c r="O4296" s="2" t="s">
        <v>3297</v>
      </c>
      <c r="P4296" s="2" t="s">
        <v>73</v>
      </c>
      <c r="Q4296" s="2" t="s">
        <v>3281</v>
      </c>
      <c r="R4296" s="2" t="s">
        <v>308</v>
      </c>
      <c r="S4296" s="13">
        <v>1</v>
      </c>
      <c r="T4296" s="14">
        <v>220</v>
      </c>
      <c r="U4296" s="2">
        <f t="shared" si="691"/>
        <v>50.6</v>
      </c>
      <c r="V4296" s="12">
        <f t="shared" si="693"/>
        <v>270.60000000000002</v>
      </c>
      <c r="W4296" s="2">
        <v>119.95</v>
      </c>
      <c r="X4296" s="5">
        <f t="shared" si="685"/>
        <v>0.45477272727272727</v>
      </c>
      <c r="Z4296" s="2" t="s">
        <v>3233</v>
      </c>
      <c r="AA4296" s="2" t="s">
        <v>76</v>
      </c>
      <c r="AB4296" s="2" t="s">
        <v>77</v>
      </c>
      <c r="AC4296" s="2" t="s">
        <v>78</v>
      </c>
      <c r="AG4296" s="2">
        <v>119.95</v>
      </c>
      <c r="AK4296" s="2">
        <f t="shared" si="686"/>
        <v>100.05</v>
      </c>
      <c r="AL4296" s="5">
        <f t="shared" si="687"/>
        <v>0.45477272727272727</v>
      </c>
    </row>
    <row r="4297" spans="1:38" hidden="1" x14ac:dyDescent="0.2">
      <c r="A4297" s="2">
        <v>2026</v>
      </c>
      <c r="B4297" s="2">
        <v>7</v>
      </c>
      <c r="C4297" s="2" t="s">
        <v>3302</v>
      </c>
      <c r="D4297" s="2" t="s">
        <v>3280</v>
      </c>
      <c r="E4297" s="2" t="s">
        <v>109</v>
      </c>
      <c r="F4297" s="2" t="s">
        <v>39</v>
      </c>
      <c r="H4297" s="2" t="s">
        <v>291</v>
      </c>
      <c r="I4297" s="2" t="s">
        <v>3296</v>
      </c>
      <c r="L4297" s="2" t="s">
        <v>294</v>
      </c>
      <c r="M4297" s="2" t="s">
        <v>81</v>
      </c>
      <c r="O4297" s="2" t="s">
        <v>3297</v>
      </c>
      <c r="P4297" s="2" t="s">
        <v>94</v>
      </c>
      <c r="Q4297" s="2" t="s">
        <v>95</v>
      </c>
      <c r="R4297" s="2" t="s">
        <v>96</v>
      </c>
      <c r="S4297" s="13">
        <v>1</v>
      </c>
      <c r="T4297" s="14">
        <v>1.48</v>
      </c>
      <c r="U4297" s="2">
        <f t="shared" si="691"/>
        <v>0.34040000000000004</v>
      </c>
      <c r="V4297" s="12">
        <f t="shared" si="693"/>
        <v>1.8204</v>
      </c>
      <c r="W4297" s="2">
        <v>1.48</v>
      </c>
      <c r="X4297" s="5">
        <f t="shared" si="685"/>
        <v>0</v>
      </c>
      <c r="Z4297" s="2" t="s">
        <v>3233</v>
      </c>
      <c r="AA4297" s="2" t="s">
        <v>97</v>
      </c>
      <c r="AB4297" s="2" t="s">
        <v>77</v>
      </c>
      <c r="AC4297" s="2" t="s">
        <v>94</v>
      </c>
      <c r="AG4297" s="2">
        <v>1.48</v>
      </c>
      <c r="AK4297" s="2">
        <f t="shared" si="686"/>
        <v>0</v>
      </c>
      <c r="AL4297" s="5">
        <f t="shared" si="687"/>
        <v>0</v>
      </c>
    </row>
    <row r="4298" spans="1:38" hidden="1" x14ac:dyDescent="0.2">
      <c r="A4298" s="2">
        <v>2026</v>
      </c>
      <c r="B4298" s="2">
        <v>7</v>
      </c>
      <c r="C4298" s="2" t="s">
        <v>3303</v>
      </c>
      <c r="D4298" s="2" t="s">
        <v>3106</v>
      </c>
      <c r="E4298" s="2" t="s">
        <v>38</v>
      </c>
      <c r="F4298" s="2" t="s">
        <v>39</v>
      </c>
      <c r="H4298" s="2" t="s">
        <v>110</v>
      </c>
      <c r="I4298" s="2" t="s">
        <v>3291</v>
      </c>
      <c r="L4298" s="2" t="s">
        <v>134</v>
      </c>
      <c r="M4298" s="2" t="s">
        <v>110</v>
      </c>
      <c r="O4298" s="2" t="s">
        <v>3290</v>
      </c>
      <c r="P4298" s="2" t="s">
        <v>102</v>
      </c>
      <c r="Q4298" s="2" t="s">
        <v>263</v>
      </c>
      <c r="R4298" s="2" t="s">
        <v>264</v>
      </c>
      <c r="S4298" s="13">
        <v>1</v>
      </c>
      <c r="T4298" s="14">
        <v>13000</v>
      </c>
      <c r="U4298" s="2">
        <f t="shared" si="691"/>
        <v>2990</v>
      </c>
      <c r="V4298" s="12">
        <f t="shared" si="693"/>
        <v>15990</v>
      </c>
      <c r="W4298" s="2">
        <v>8765.42</v>
      </c>
      <c r="X4298" s="5">
        <f t="shared" si="685"/>
        <v>0.32573692307692309</v>
      </c>
      <c r="Z4298" s="2" t="s">
        <v>105</v>
      </c>
      <c r="AA4298" s="2" t="s">
        <v>265</v>
      </c>
      <c r="AB4298" s="2" t="s">
        <v>266</v>
      </c>
      <c r="AC4298" s="2" t="s">
        <v>102</v>
      </c>
      <c r="AG4298" s="2">
        <v>8765.42</v>
      </c>
      <c r="AK4298" s="2">
        <f t="shared" si="686"/>
        <v>4234.58</v>
      </c>
      <c r="AL4298" s="5">
        <f t="shared" si="687"/>
        <v>0.32573692307692309</v>
      </c>
    </row>
    <row r="4299" spans="1:38" hidden="1" x14ac:dyDescent="0.2">
      <c r="A4299" s="2">
        <v>2026</v>
      </c>
      <c r="B4299" s="2">
        <v>7</v>
      </c>
      <c r="C4299" s="2" t="s">
        <v>3303</v>
      </c>
      <c r="D4299" s="2" t="s">
        <v>3106</v>
      </c>
      <c r="E4299" s="2" t="s">
        <v>38</v>
      </c>
      <c r="F4299" s="2" t="s">
        <v>39</v>
      </c>
      <c r="H4299" s="2" t="s">
        <v>110</v>
      </c>
      <c r="I4299" s="2" t="s">
        <v>3291</v>
      </c>
      <c r="L4299" s="2" t="s">
        <v>134</v>
      </c>
      <c r="M4299" s="2" t="s">
        <v>110</v>
      </c>
      <c r="O4299" s="2" t="s">
        <v>3290</v>
      </c>
      <c r="P4299" s="2" t="s">
        <v>102</v>
      </c>
      <c r="Q4299" s="2" t="s">
        <v>3282</v>
      </c>
      <c r="R4299" s="2" t="s">
        <v>3283</v>
      </c>
      <c r="S4299" s="13">
        <v>1</v>
      </c>
      <c r="T4299" s="14">
        <v>6000</v>
      </c>
      <c r="U4299" s="2">
        <f t="shared" si="691"/>
        <v>1380</v>
      </c>
      <c r="V4299" s="12">
        <f t="shared" si="693"/>
        <v>7380</v>
      </c>
      <c r="W4299" s="2">
        <v>4221.5600000000004</v>
      </c>
      <c r="X4299" s="5">
        <f t="shared" si="685"/>
        <v>0.2964066666666666</v>
      </c>
      <c r="Z4299" s="2" t="s">
        <v>105</v>
      </c>
      <c r="AA4299" s="2" t="s">
        <v>106</v>
      </c>
      <c r="AB4299" s="2" t="s">
        <v>2033</v>
      </c>
      <c r="AC4299" s="2" t="s">
        <v>102</v>
      </c>
      <c r="AG4299" s="2">
        <v>4221.5600000000004</v>
      </c>
      <c r="AK4299" s="2">
        <f t="shared" si="686"/>
        <v>1778.4399999999996</v>
      </c>
      <c r="AL4299" s="5">
        <f t="shared" si="687"/>
        <v>0.2964066666666666</v>
      </c>
    </row>
    <row r="4300" spans="1:38" hidden="1" x14ac:dyDescent="0.2">
      <c r="A4300" s="2">
        <v>2026</v>
      </c>
      <c r="B4300" s="2">
        <v>7</v>
      </c>
      <c r="C4300" s="2" t="s">
        <v>3303</v>
      </c>
      <c r="D4300" s="2" t="s">
        <v>3106</v>
      </c>
      <c r="E4300" s="2" t="s">
        <v>38</v>
      </c>
      <c r="F4300" s="2" t="s">
        <v>39</v>
      </c>
      <c r="H4300" s="2" t="s">
        <v>110</v>
      </c>
      <c r="I4300" s="2" t="s">
        <v>3291</v>
      </c>
      <c r="L4300" s="2" t="s">
        <v>134</v>
      </c>
      <c r="M4300" s="2" t="s">
        <v>110</v>
      </c>
      <c r="O4300" s="2" t="s">
        <v>3290</v>
      </c>
      <c r="P4300" s="2" t="s">
        <v>102</v>
      </c>
      <c r="Q4300" s="2" t="s">
        <v>3284</v>
      </c>
      <c r="R4300" s="2" t="s">
        <v>3285</v>
      </c>
      <c r="S4300" s="13">
        <v>1</v>
      </c>
      <c r="T4300" s="14">
        <v>1000</v>
      </c>
      <c r="U4300" s="2">
        <f t="shared" si="691"/>
        <v>230</v>
      </c>
      <c r="V4300" s="12">
        <f t="shared" si="693"/>
        <v>1230</v>
      </c>
      <c r="W4300" s="2">
        <v>802.73</v>
      </c>
      <c r="X4300" s="5">
        <f t="shared" si="685"/>
        <v>0.19726999999999997</v>
      </c>
      <c r="Z4300" s="2" t="s">
        <v>105</v>
      </c>
      <c r="AA4300" s="2" t="s">
        <v>1113</v>
      </c>
      <c r="AB4300" s="2" t="s">
        <v>3289</v>
      </c>
      <c r="AC4300" s="2" t="s">
        <v>102</v>
      </c>
      <c r="AG4300" s="2">
        <v>802.73</v>
      </c>
      <c r="AK4300" s="2">
        <f t="shared" si="686"/>
        <v>197.26999999999998</v>
      </c>
      <c r="AL4300" s="5">
        <f t="shared" si="687"/>
        <v>0.19726999999999997</v>
      </c>
    </row>
    <row r="4301" spans="1:38" hidden="1" x14ac:dyDescent="0.2">
      <c r="A4301" s="2">
        <v>2026</v>
      </c>
      <c r="B4301" s="2">
        <v>7</v>
      </c>
      <c r="C4301" s="2" t="s">
        <v>3302</v>
      </c>
      <c r="D4301" s="2" t="s">
        <v>1999</v>
      </c>
      <c r="E4301" s="2" t="s">
        <v>109</v>
      </c>
      <c r="F4301" s="2" t="s">
        <v>39</v>
      </c>
      <c r="H4301" s="2" t="s">
        <v>291</v>
      </c>
      <c r="I4301" s="2" t="s">
        <v>3288</v>
      </c>
      <c r="L4301" s="2" t="s">
        <v>340</v>
      </c>
      <c r="M4301" s="2" t="s">
        <v>40</v>
      </c>
      <c r="O4301" s="2" t="s">
        <v>3298</v>
      </c>
      <c r="P4301" s="2" t="s">
        <v>188</v>
      </c>
      <c r="Q4301" s="2" t="s">
        <v>189</v>
      </c>
      <c r="R4301" s="2" t="s">
        <v>190</v>
      </c>
      <c r="S4301" s="13">
        <v>1</v>
      </c>
      <c r="T4301" s="14">
        <v>60</v>
      </c>
      <c r="U4301" s="2">
        <f t="shared" si="691"/>
        <v>13.8</v>
      </c>
      <c r="V4301" s="12">
        <f t="shared" si="693"/>
        <v>73.8</v>
      </c>
      <c r="W4301" s="2">
        <f>T4301*40%</f>
        <v>24</v>
      </c>
      <c r="X4301" s="5">
        <f t="shared" si="685"/>
        <v>0.6</v>
      </c>
      <c r="Z4301" s="2" t="s">
        <v>118</v>
      </c>
      <c r="AA4301" s="2" t="s">
        <v>191</v>
      </c>
      <c r="AB4301" s="2" t="s">
        <v>190</v>
      </c>
      <c r="AC4301" s="2" t="s">
        <v>40</v>
      </c>
      <c r="AK4301" s="2">
        <f t="shared" si="686"/>
        <v>36</v>
      </c>
      <c r="AL4301" s="5">
        <f t="shared" si="687"/>
        <v>0.6</v>
      </c>
    </row>
    <row r="4302" spans="1:38" hidden="1" x14ac:dyDescent="0.2">
      <c r="A4302" s="2">
        <v>2026</v>
      </c>
      <c r="B4302" s="2">
        <v>7</v>
      </c>
      <c r="C4302" s="2" t="s">
        <v>3447</v>
      </c>
      <c r="D4302" s="2" t="s">
        <v>1999</v>
      </c>
      <c r="E4302" s="2" t="s">
        <v>109</v>
      </c>
      <c r="F4302" s="2" t="s">
        <v>39</v>
      </c>
      <c r="H4302" s="2" t="s">
        <v>291</v>
      </c>
      <c r="I4302" s="2" t="s">
        <v>3288</v>
      </c>
      <c r="L4302" s="2" t="s">
        <v>340</v>
      </c>
      <c r="M4302" s="2" t="s">
        <v>40</v>
      </c>
      <c r="O4302" s="2" t="s">
        <v>3298</v>
      </c>
      <c r="P4302" s="2" t="s">
        <v>188</v>
      </c>
      <c r="Q4302" s="2" t="s">
        <v>192</v>
      </c>
      <c r="R4302" s="2" t="s">
        <v>191</v>
      </c>
      <c r="S4302" s="13">
        <v>1</v>
      </c>
      <c r="T4302" s="14">
        <v>55</v>
      </c>
      <c r="U4302" s="2">
        <f t="shared" si="691"/>
        <v>12.65</v>
      </c>
      <c r="V4302" s="12">
        <f t="shared" si="693"/>
        <v>67.650000000000006</v>
      </c>
      <c r="W4302" s="2">
        <f>T4302*50%</f>
        <v>27.5</v>
      </c>
      <c r="X4302" s="5">
        <f t="shared" si="685"/>
        <v>0.5</v>
      </c>
      <c r="Z4302" s="2" t="s">
        <v>118</v>
      </c>
      <c r="AA4302" s="2" t="s">
        <v>191</v>
      </c>
      <c r="AB4302" s="2" t="s">
        <v>191</v>
      </c>
      <c r="AC4302" s="2" t="s">
        <v>40</v>
      </c>
      <c r="AK4302" s="2">
        <f t="shared" si="686"/>
        <v>27.5</v>
      </c>
      <c r="AL4302" s="5">
        <f t="shared" si="687"/>
        <v>0.5</v>
      </c>
    </row>
    <row r="4303" spans="1:38" hidden="1" x14ac:dyDescent="0.2">
      <c r="A4303" s="2">
        <v>2026</v>
      </c>
      <c r="B4303" s="2">
        <v>7</v>
      </c>
      <c r="C4303" s="2" t="s">
        <v>3302</v>
      </c>
      <c r="D4303" s="2" t="s">
        <v>1487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115</v>
      </c>
      <c r="Q4303" s="2" t="s">
        <v>906</v>
      </c>
      <c r="R4303" s="2" t="s">
        <v>907</v>
      </c>
      <c r="S4303" s="13">
        <v>1</v>
      </c>
      <c r="T4303" s="14">
        <v>699.3</v>
      </c>
      <c r="U4303" s="2">
        <f>T4303*23%</f>
        <v>160.839</v>
      </c>
      <c r="V4303" s="2">
        <f t="shared" si="693"/>
        <v>860.1389999999999</v>
      </c>
      <c r="W4303" s="2">
        <v>345.20339999999999</v>
      </c>
      <c r="X4303" s="5">
        <f t="shared" si="685"/>
        <v>0.50635864435864431</v>
      </c>
      <c r="Z4303" s="2" t="s">
        <v>118</v>
      </c>
      <c r="AA4303" s="2" t="s">
        <v>182</v>
      </c>
      <c r="AB4303" s="2" t="s">
        <v>120</v>
      </c>
      <c r="AC4303" s="2" t="s">
        <v>115</v>
      </c>
      <c r="AK4303" s="2">
        <f t="shared" ref="AK4303:AK4366" si="694">T4303-W4303</f>
        <v>354.09659999999997</v>
      </c>
      <c r="AL4303" s="5">
        <f t="shared" ref="AL4303:AL4366" si="695">(T4303-W4303)/T4303</f>
        <v>0.50635864435864431</v>
      </c>
    </row>
    <row r="4304" spans="1:38" hidden="1" x14ac:dyDescent="0.2">
      <c r="A4304" s="2">
        <v>2026</v>
      </c>
      <c r="B4304" s="2">
        <v>7</v>
      </c>
      <c r="C4304" s="2" t="s">
        <v>3302</v>
      </c>
      <c r="D4304" s="2" t="s">
        <v>1487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189</v>
      </c>
      <c r="R4304" s="2" t="s">
        <v>190</v>
      </c>
      <c r="S4304" s="13">
        <v>1</v>
      </c>
      <c r="T4304" s="14">
        <v>314</v>
      </c>
      <c r="U4304" s="2">
        <f t="shared" ref="U4304:U4367" si="696">T4304*23%</f>
        <v>72.22</v>
      </c>
      <c r="V4304" s="2">
        <f t="shared" ref="V4304:V4367" si="697">T4304+U4304</f>
        <v>386.22</v>
      </c>
      <c r="W4304" s="2">
        <f>T4304*40%</f>
        <v>125.60000000000001</v>
      </c>
      <c r="X4304" s="5">
        <f t="shared" si="685"/>
        <v>0.6</v>
      </c>
      <c r="Z4304" s="2" t="s">
        <v>118</v>
      </c>
      <c r="AA4304" s="2" t="s">
        <v>191</v>
      </c>
      <c r="AB4304" s="2" t="s">
        <v>190</v>
      </c>
      <c r="AC4304" s="2" t="s">
        <v>40</v>
      </c>
      <c r="AK4304" s="2">
        <f t="shared" si="694"/>
        <v>188.39999999999998</v>
      </c>
      <c r="AL4304" s="5">
        <f t="shared" si="695"/>
        <v>0.6</v>
      </c>
    </row>
    <row r="4305" spans="1:38" hidden="1" x14ac:dyDescent="0.2">
      <c r="A4305" s="2">
        <v>2026</v>
      </c>
      <c r="B4305" s="2">
        <v>7</v>
      </c>
      <c r="C4305" s="2" t="s">
        <v>3302</v>
      </c>
      <c r="D4305" s="2" t="s">
        <v>1487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192</v>
      </c>
      <c r="R4305" s="2" t="s">
        <v>191</v>
      </c>
      <c r="S4305" s="13">
        <v>1</v>
      </c>
      <c r="T4305" s="14">
        <v>55</v>
      </c>
      <c r="U4305" s="2">
        <f t="shared" si="696"/>
        <v>12.65</v>
      </c>
      <c r="V4305" s="2">
        <f t="shared" si="697"/>
        <v>67.650000000000006</v>
      </c>
      <c r="W4305" s="2">
        <f>T4305*50%</f>
        <v>27.5</v>
      </c>
      <c r="X4305" s="5">
        <f t="shared" si="685"/>
        <v>0.5</v>
      </c>
      <c r="Z4305" s="2" t="s">
        <v>118</v>
      </c>
      <c r="AA4305" s="2" t="s">
        <v>191</v>
      </c>
      <c r="AB4305" s="2" t="s">
        <v>191</v>
      </c>
      <c r="AC4305" s="2" t="s">
        <v>40</v>
      </c>
      <c r="AK4305" s="2">
        <f t="shared" si="694"/>
        <v>27.5</v>
      </c>
      <c r="AL4305" s="5">
        <f t="shared" si="695"/>
        <v>0.5</v>
      </c>
    </row>
    <row r="4306" spans="1:38" hidden="1" x14ac:dyDescent="0.2">
      <c r="A4306" s="2">
        <v>2026</v>
      </c>
      <c r="B4306" s="2">
        <v>7</v>
      </c>
      <c r="C4306" s="2" t="s">
        <v>3303</v>
      </c>
      <c r="D4306" s="2" t="s">
        <v>3340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189</v>
      </c>
      <c r="R4306" s="2" t="s">
        <v>190</v>
      </c>
      <c r="S4306" s="13">
        <v>1</v>
      </c>
      <c r="T4306" s="14">
        <v>60</v>
      </c>
      <c r="U4306" s="2">
        <f t="shared" si="696"/>
        <v>13.8</v>
      </c>
      <c r="V4306" s="2">
        <f t="shared" si="697"/>
        <v>73.8</v>
      </c>
      <c r="W4306" s="2">
        <f>T4306*40%</f>
        <v>24</v>
      </c>
      <c r="X4306" s="5">
        <f t="shared" si="685"/>
        <v>0.6</v>
      </c>
      <c r="Z4306" s="2" t="s">
        <v>118</v>
      </c>
      <c r="AA4306" s="2" t="s">
        <v>191</v>
      </c>
      <c r="AB4306" s="2" t="s">
        <v>190</v>
      </c>
      <c r="AC4306" s="2" t="s">
        <v>40</v>
      </c>
      <c r="AK4306" s="2">
        <f t="shared" si="694"/>
        <v>36</v>
      </c>
      <c r="AL4306" s="5">
        <f t="shared" si="695"/>
        <v>0.6</v>
      </c>
    </row>
    <row r="4307" spans="1:38" hidden="1" x14ac:dyDescent="0.2">
      <c r="A4307" s="2">
        <v>2026</v>
      </c>
      <c r="B4307" s="2">
        <v>7</v>
      </c>
      <c r="C4307" s="2" t="s">
        <v>3303</v>
      </c>
      <c r="D4307" s="2" t="s">
        <v>3340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192</v>
      </c>
      <c r="R4307" s="2" t="s">
        <v>191</v>
      </c>
      <c r="S4307" s="13">
        <v>1</v>
      </c>
      <c r="T4307" s="14">
        <v>55</v>
      </c>
      <c r="U4307" s="2">
        <f t="shared" si="696"/>
        <v>12.65</v>
      </c>
      <c r="V4307" s="2">
        <f t="shared" si="697"/>
        <v>67.650000000000006</v>
      </c>
      <c r="W4307" s="2">
        <f>T4307*50%</f>
        <v>27.5</v>
      </c>
      <c r="X4307" s="5">
        <f t="shared" si="685"/>
        <v>0.5</v>
      </c>
      <c r="Z4307" s="2" t="s">
        <v>118</v>
      </c>
      <c r="AA4307" s="2" t="s">
        <v>191</v>
      </c>
      <c r="AB4307" s="2" t="s">
        <v>191</v>
      </c>
      <c r="AC4307" s="2" t="s">
        <v>40</v>
      </c>
      <c r="AK4307" s="2">
        <f t="shared" si="694"/>
        <v>27.5</v>
      </c>
      <c r="AL4307" s="5">
        <f t="shared" si="695"/>
        <v>0.5</v>
      </c>
    </row>
    <row r="4308" spans="1:38" hidden="1" x14ac:dyDescent="0.2">
      <c r="A4308" s="2">
        <v>2026</v>
      </c>
      <c r="B4308" s="2">
        <v>7</v>
      </c>
      <c r="C4308" s="2" t="s">
        <v>3302</v>
      </c>
      <c r="D4308" s="2" t="s">
        <v>3341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73</v>
      </c>
      <c r="Q4308" s="2" t="s">
        <v>665</v>
      </c>
      <c r="R4308" s="2" t="s">
        <v>80</v>
      </c>
      <c r="S4308" s="13">
        <v>1</v>
      </c>
      <c r="T4308" s="14">
        <v>220</v>
      </c>
      <c r="U4308" s="2">
        <f t="shared" si="696"/>
        <v>50.6</v>
      </c>
      <c r="V4308" s="2">
        <f t="shared" si="697"/>
        <v>270.60000000000002</v>
      </c>
      <c r="W4308" s="2">
        <f>113.905+11.25</f>
        <v>125.155</v>
      </c>
      <c r="X4308" s="5">
        <f t="shared" si="685"/>
        <v>0.43111363636363637</v>
      </c>
      <c r="Z4308" s="2" t="s">
        <v>3233</v>
      </c>
      <c r="AA4308" s="2" t="s">
        <v>76</v>
      </c>
      <c r="AB4308" s="2" t="s">
        <v>77</v>
      </c>
      <c r="AC4308" s="2" t="s">
        <v>78</v>
      </c>
      <c r="AK4308" s="2">
        <f t="shared" si="694"/>
        <v>94.844999999999999</v>
      </c>
      <c r="AL4308" s="5">
        <f t="shared" si="695"/>
        <v>0.43111363636363637</v>
      </c>
    </row>
    <row r="4309" spans="1:38" hidden="1" x14ac:dyDescent="0.2">
      <c r="A4309" s="2">
        <v>2026</v>
      </c>
      <c r="B4309" s="2">
        <v>7</v>
      </c>
      <c r="C4309" s="2" t="s">
        <v>3302</v>
      </c>
      <c r="D4309" s="2" t="s">
        <v>3341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94</v>
      </c>
      <c r="Q4309" s="2" t="s">
        <v>95</v>
      </c>
      <c r="R4309" s="2" t="s">
        <v>96</v>
      </c>
      <c r="S4309" s="13">
        <v>1</v>
      </c>
      <c r="T4309" s="14">
        <v>1.48</v>
      </c>
      <c r="U4309" s="2">
        <f t="shared" si="696"/>
        <v>0.34040000000000004</v>
      </c>
      <c r="V4309" s="2">
        <f t="shared" si="697"/>
        <v>1.8204</v>
      </c>
      <c r="W4309" s="2">
        <v>1.48</v>
      </c>
      <c r="X4309" s="5">
        <f t="shared" si="685"/>
        <v>0</v>
      </c>
      <c r="Z4309" s="2" t="s">
        <v>3233</v>
      </c>
      <c r="AA4309" s="2" t="s">
        <v>97</v>
      </c>
      <c r="AB4309" s="2" t="s">
        <v>77</v>
      </c>
      <c r="AC4309" s="2" t="s">
        <v>94</v>
      </c>
      <c r="AK4309" s="2">
        <f t="shared" si="694"/>
        <v>0</v>
      </c>
      <c r="AL4309" s="5">
        <f t="shared" si="695"/>
        <v>0</v>
      </c>
    </row>
    <row r="4310" spans="1:38" hidden="1" x14ac:dyDescent="0.2">
      <c r="A4310" s="2">
        <v>2026</v>
      </c>
      <c r="B4310" s="2">
        <v>7</v>
      </c>
      <c r="C4310" s="2" t="s">
        <v>3303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189</v>
      </c>
      <c r="R4310" s="2" t="s">
        <v>190</v>
      </c>
      <c r="S4310" s="9">
        <v>2</v>
      </c>
      <c r="T4310" s="14">
        <v>634</v>
      </c>
      <c r="U4310" s="2">
        <f t="shared" si="696"/>
        <v>145.82</v>
      </c>
      <c r="V4310" s="2">
        <f t="shared" si="697"/>
        <v>779.81999999999994</v>
      </c>
      <c r="W4310" s="2">
        <f>T4310*40%</f>
        <v>253.60000000000002</v>
      </c>
      <c r="X4310" s="5">
        <f t="shared" si="685"/>
        <v>0.6</v>
      </c>
      <c r="Z4310" s="2" t="s">
        <v>118</v>
      </c>
      <c r="AA4310" s="2" t="s">
        <v>191</v>
      </c>
      <c r="AB4310" s="2" t="s">
        <v>190</v>
      </c>
      <c r="AC4310" s="2" t="s">
        <v>40</v>
      </c>
      <c r="AK4310" s="2">
        <f t="shared" si="694"/>
        <v>380.4</v>
      </c>
      <c r="AL4310" s="5">
        <f t="shared" si="695"/>
        <v>0.6</v>
      </c>
    </row>
    <row r="4311" spans="1:38" hidden="1" x14ac:dyDescent="0.2">
      <c r="A4311" s="2">
        <v>2026</v>
      </c>
      <c r="B4311" s="2">
        <v>7</v>
      </c>
      <c r="C4311" s="2" t="s">
        <v>3303</v>
      </c>
      <c r="D4311" s="15" t="s">
        <v>716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192</v>
      </c>
      <c r="R4311" s="2" t="s">
        <v>191</v>
      </c>
      <c r="S4311" s="9">
        <v>3.5</v>
      </c>
      <c r="T4311" s="14">
        <v>192.5</v>
      </c>
      <c r="U4311" s="2">
        <f t="shared" si="696"/>
        <v>44.274999999999999</v>
      </c>
      <c r="V4311" s="2">
        <f t="shared" si="697"/>
        <v>236.77500000000001</v>
      </c>
      <c r="W4311" s="2">
        <f>T4311*50%</f>
        <v>96.25</v>
      </c>
      <c r="X4311" s="5">
        <f t="shared" si="685"/>
        <v>0.5</v>
      </c>
      <c r="Z4311" s="2" t="s">
        <v>118</v>
      </c>
      <c r="AA4311" s="2" t="s">
        <v>191</v>
      </c>
      <c r="AB4311" s="2" t="s">
        <v>191</v>
      </c>
      <c r="AC4311" s="2" t="s">
        <v>40</v>
      </c>
      <c r="AK4311" s="2">
        <f t="shared" si="694"/>
        <v>96.25</v>
      </c>
      <c r="AL4311" s="5">
        <f t="shared" si="695"/>
        <v>0.5</v>
      </c>
    </row>
    <row r="4312" spans="1:38" hidden="1" x14ac:dyDescent="0.2">
      <c r="A4312" s="2">
        <v>2026</v>
      </c>
      <c r="B4312" s="2">
        <v>7</v>
      </c>
      <c r="C4312" s="2" t="s">
        <v>3302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189</v>
      </c>
      <c r="R4312" s="15" t="s">
        <v>190</v>
      </c>
      <c r="S4312" s="9">
        <v>1</v>
      </c>
      <c r="T4312" s="14">
        <v>60</v>
      </c>
      <c r="U4312" s="2">
        <f t="shared" si="696"/>
        <v>13.8</v>
      </c>
      <c r="V4312" s="2">
        <f t="shared" si="697"/>
        <v>73.8</v>
      </c>
      <c r="W4312" s="2">
        <f>T4312*40%</f>
        <v>24</v>
      </c>
      <c r="X4312" s="5">
        <f t="shared" si="685"/>
        <v>0.6</v>
      </c>
      <c r="Z4312" s="2" t="s">
        <v>118</v>
      </c>
      <c r="AA4312" s="2" t="s">
        <v>191</v>
      </c>
      <c r="AB4312" s="2" t="s">
        <v>190</v>
      </c>
      <c r="AC4312" s="2" t="s">
        <v>40</v>
      </c>
      <c r="AK4312" s="2">
        <f t="shared" si="694"/>
        <v>36</v>
      </c>
      <c r="AL4312" s="5">
        <f t="shared" si="695"/>
        <v>0.6</v>
      </c>
    </row>
    <row r="4313" spans="1:38" hidden="1" x14ac:dyDescent="0.2">
      <c r="A4313" s="2">
        <v>2026</v>
      </c>
      <c r="B4313" s="2">
        <v>7</v>
      </c>
      <c r="C4313" s="2" t="s">
        <v>3302</v>
      </c>
      <c r="D4313" s="15" t="s">
        <v>975</v>
      </c>
      <c r="E4313" s="2" t="s">
        <v>109</v>
      </c>
      <c r="F4313" s="2" t="s">
        <v>39</v>
      </c>
      <c r="L4313" s="2" t="s">
        <v>340</v>
      </c>
      <c r="M4313" s="2" t="s">
        <v>40</v>
      </c>
      <c r="P4313" s="2" t="s">
        <v>188</v>
      </c>
      <c r="Q4313" s="16" t="s">
        <v>192</v>
      </c>
      <c r="R4313" s="15" t="s">
        <v>191</v>
      </c>
      <c r="S4313" s="9">
        <v>1.5</v>
      </c>
      <c r="T4313" s="14">
        <v>82.5</v>
      </c>
      <c r="U4313" s="2">
        <f t="shared" si="696"/>
        <v>18.975000000000001</v>
      </c>
      <c r="V4313" s="2">
        <f t="shared" si="697"/>
        <v>101.47499999999999</v>
      </c>
      <c r="W4313" s="2">
        <f>T4313*50%</f>
        <v>41.25</v>
      </c>
      <c r="X4313" s="5">
        <f t="shared" si="685"/>
        <v>0.5</v>
      </c>
      <c r="Z4313" s="2" t="s">
        <v>118</v>
      </c>
      <c r="AA4313" s="2" t="s">
        <v>191</v>
      </c>
      <c r="AB4313" s="2" t="s">
        <v>191</v>
      </c>
      <c r="AC4313" s="2" t="s">
        <v>40</v>
      </c>
      <c r="AK4313" s="2">
        <f t="shared" si="694"/>
        <v>41.25</v>
      </c>
      <c r="AL4313" s="5">
        <f t="shared" si="695"/>
        <v>0.5</v>
      </c>
    </row>
    <row r="4314" spans="1:38" hidden="1" x14ac:dyDescent="0.2">
      <c r="A4314" s="2">
        <v>2026</v>
      </c>
      <c r="B4314" s="2">
        <v>7</v>
      </c>
      <c r="C4314" s="2" t="s">
        <v>3302</v>
      </c>
      <c r="D4314" s="15" t="s">
        <v>333</v>
      </c>
      <c r="E4314" s="2" t="s">
        <v>109</v>
      </c>
      <c r="F4314" s="2" t="s">
        <v>39</v>
      </c>
      <c r="G4314" s="2">
        <v>513493557</v>
      </c>
      <c r="H4314" s="2" t="s">
        <v>41</v>
      </c>
      <c r="I4314" s="2" t="s">
        <v>280</v>
      </c>
      <c r="J4314" s="2" t="s">
        <v>334</v>
      </c>
      <c r="L4314" s="2" t="s">
        <v>178</v>
      </c>
      <c r="M4314" s="2" t="s">
        <v>40</v>
      </c>
      <c r="P4314" s="2" t="s">
        <v>115</v>
      </c>
      <c r="Q4314" s="16" t="s">
        <v>577</v>
      </c>
      <c r="R4314" s="15" t="s">
        <v>578</v>
      </c>
      <c r="S4314" s="13">
        <v>1</v>
      </c>
      <c r="T4314" s="14">
        <v>79.47</v>
      </c>
      <c r="U4314" s="2">
        <f t="shared" si="696"/>
        <v>18.278100000000002</v>
      </c>
      <c r="V4314" s="2">
        <f t="shared" si="697"/>
        <v>97.748099999999994</v>
      </c>
      <c r="W4314" s="2">
        <v>25.2</v>
      </c>
      <c r="X4314" s="5">
        <f t="shared" si="685"/>
        <v>0.68289920724801811</v>
      </c>
      <c r="Z4314" s="2" t="s">
        <v>118</v>
      </c>
      <c r="AA4314" s="2" t="s">
        <v>579</v>
      </c>
      <c r="AB4314" s="2" t="s">
        <v>120</v>
      </c>
      <c r="AC4314" s="2" t="s">
        <v>115</v>
      </c>
      <c r="AK4314" s="2">
        <f t="shared" si="694"/>
        <v>54.269999999999996</v>
      </c>
      <c r="AL4314" s="5">
        <f t="shared" si="695"/>
        <v>0.68289920724801811</v>
      </c>
    </row>
    <row r="4315" spans="1:38" hidden="1" x14ac:dyDescent="0.2">
      <c r="A4315" s="2">
        <v>2026</v>
      </c>
      <c r="B4315" s="2">
        <v>7</v>
      </c>
      <c r="C4315" s="2" t="s">
        <v>3302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1040</v>
      </c>
      <c r="Q4315" s="16" t="s">
        <v>3352</v>
      </c>
      <c r="R4315" s="15" t="s">
        <v>3353</v>
      </c>
      <c r="S4315" s="13">
        <v>1</v>
      </c>
      <c r="T4315" s="14">
        <v>280</v>
      </c>
      <c r="U4315" s="2">
        <f t="shared" si="696"/>
        <v>64.400000000000006</v>
      </c>
      <c r="V4315" s="2">
        <f t="shared" si="697"/>
        <v>344.4</v>
      </c>
      <c r="W4315" s="2">
        <f>144.32+16.82</f>
        <v>161.13999999999999</v>
      </c>
      <c r="X4315" s="5">
        <f t="shared" si="685"/>
        <v>0.42450000000000004</v>
      </c>
      <c r="Z4315" s="2" t="s">
        <v>3233</v>
      </c>
      <c r="AA4315" s="2" t="s">
        <v>76</v>
      </c>
      <c r="AB4315" s="2" t="s">
        <v>77</v>
      </c>
      <c r="AC4315" s="2" t="s">
        <v>1040</v>
      </c>
      <c r="AK4315" s="2">
        <f t="shared" si="694"/>
        <v>118.86000000000001</v>
      </c>
      <c r="AL4315" s="5">
        <f t="shared" si="695"/>
        <v>0.42450000000000004</v>
      </c>
    </row>
    <row r="4316" spans="1:38" hidden="1" x14ac:dyDescent="0.2">
      <c r="A4316" s="2">
        <v>2026</v>
      </c>
      <c r="B4316" s="2">
        <v>7</v>
      </c>
      <c r="C4316" s="2" t="s">
        <v>3302</v>
      </c>
      <c r="D4316" s="15" t="s">
        <v>983</v>
      </c>
      <c r="E4316" s="2" t="s">
        <v>109</v>
      </c>
      <c r="F4316" s="2" t="s">
        <v>718</v>
      </c>
      <c r="L4316" s="2" t="s">
        <v>294</v>
      </c>
      <c r="M4316" s="2" t="s">
        <v>81</v>
      </c>
      <c r="P4316" s="2" t="s">
        <v>94</v>
      </c>
      <c r="Q4316" s="16" t="s">
        <v>95</v>
      </c>
      <c r="R4316" s="15" t="s">
        <v>96</v>
      </c>
      <c r="S4316" s="13">
        <v>1</v>
      </c>
      <c r="T4316" s="14">
        <v>1.48</v>
      </c>
      <c r="U4316" s="2">
        <f t="shared" si="696"/>
        <v>0.34040000000000004</v>
      </c>
      <c r="V4316" s="2">
        <f t="shared" si="697"/>
        <v>1.8204</v>
      </c>
      <c r="W4316" s="2">
        <v>1.48</v>
      </c>
      <c r="X4316" s="5">
        <f t="shared" si="685"/>
        <v>0</v>
      </c>
      <c r="Z4316" s="2" t="s">
        <v>3233</v>
      </c>
      <c r="AA4316" s="2" t="s">
        <v>97</v>
      </c>
      <c r="AB4316" s="2" t="s">
        <v>77</v>
      </c>
      <c r="AC4316" s="2" t="s">
        <v>94</v>
      </c>
      <c r="AK4316" s="2">
        <f t="shared" si="694"/>
        <v>0</v>
      </c>
      <c r="AL4316" s="5">
        <f t="shared" si="695"/>
        <v>0</v>
      </c>
    </row>
    <row r="4317" spans="1:38" hidden="1" x14ac:dyDescent="0.2">
      <c r="A4317" s="2">
        <v>2026</v>
      </c>
      <c r="B4317" s="2">
        <v>7</v>
      </c>
      <c r="C4317" s="2" t="s">
        <v>3301</v>
      </c>
      <c r="D4317" s="15" t="s">
        <v>1358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1359</v>
      </c>
      <c r="L4317" s="2" t="s">
        <v>419</v>
      </c>
      <c r="M4317" s="2" t="s">
        <v>40</v>
      </c>
      <c r="P4317" s="2" t="s">
        <v>283</v>
      </c>
      <c r="Q4317" s="16" t="s">
        <v>3003</v>
      </c>
      <c r="R4317" s="15" t="s">
        <v>3004</v>
      </c>
      <c r="S4317" s="13">
        <v>1</v>
      </c>
      <c r="T4317" s="14">
        <v>1190</v>
      </c>
      <c r="U4317" s="2">
        <f t="shared" si="696"/>
        <v>273.7</v>
      </c>
      <c r="V4317" s="2">
        <f t="shared" si="697"/>
        <v>1463.7</v>
      </c>
      <c r="W4317" s="2">
        <v>773.5</v>
      </c>
      <c r="X4317" s="5">
        <f t="shared" si="685"/>
        <v>0.35</v>
      </c>
      <c r="Z4317" s="2" t="s">
        <v>118</v>
      </c>
      <c r="AA4317" s="2" t="s">
        <v>182</v>
      </c>
      <c r="AB4317" s="2" t="s">
        <v>3389</v>
      </c>
      <c r="AC4317" s="2" t="s">
        <v>1330</v>
      </c>
      <c r="AK4317" s="2">
        <f t="shared" si="694"/>
        <v>416.5</v>
      </c>
      <c r="AL4317" s="5">
        <f t="shared" si="695"/>
        <v>0.35</v>
      </c>
    </row>
    <row r="4318" spans="1:38" hidden="1" x14ac:dyDescent="0.2">
      <c r="A4318" s="2">
        <v>2026</v>
      </c>
      <c r="B4318" s="2">
        <v>7</v>
      </c>
      <c r="C4318" s="2" t="s">
        <v>3302</v>
      </c>
      <c r="D4318" s="15" t="s">
        <v>1358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1359</v>
      </c>
      <c r="L4318" s="2" t="s">
        <v>419</v>
      </c>
      <c r="M4318" s="2" t="s">
        <v>41</v>
      </c>
      <c r="P4318" s="2" t="s">
        <v>73</v>
      </c>
      <c r="Q4318" s="16" t="s">
        <v>74</v>
      </c>
      <c r="R4318" s="15" t="s">
        <v>75</v>
      </c>
      <c r="S4318" s="13">
        <v>1</v>
      </c>
      <c r="T4318" s="14">
        <v>180</v>
      </c>
      <c r="U4318" s="2">
        <f t="shared" si="696"/>
        <v>41.4</v>
      </c>
      <c r="V4318" s="2">
        <f t="shared" si="697"/>
        <v>221.4</v>
      </c>
      <c r="W4318" s="2">
        <v>125.51600000000001</v>
      </c>
      <c r="X4318" s="5">
        <f t="shared" si="685"/>
        <v>0.30268888888888884</v>
      </c>
      <c r="Z4318" s="2" t="s">
        <v>3233</v>
      </c>
      <c r="AA4318" s="2" t="s">
        <v>76</v>
      </c>
      <c r="AB4318" s="2" t="s">
        <v>77</v>
      </c>
      <c r="AC4318" s="2" t="s">
        <v>78</v>
      </c>
      <c r="AK4318" s="2">
        <f t="shared" si="694"/>
        <v>54.483999999999995</v>
      </c>
      <c r="AL4318" s="5">
        <f t="shared" si="695"/>
        <v>0.30268888888888884</v>
      </c>
    </row>
    <row r="4319" spans="1:38" hidden="1" x14ac:dyDescent="0.2">
      <c r="A4319" s="2">
        <v>2026</v>
      </c>
      <c r="B4319" s="2">
        <v>7</v>
      </c>
      <c r="C4319" s="2" t="s">
        <v>3302</v>
      </c>
      <c r="D4319" s="15" t="s">
        <v>1358</v>
      </c>
      <c r="E4319" s="2" t="s">
        <v>753</v>
      </c>
      <c r="F4319" s="2" t="s">
        <v>39</v>
      </c>
      <c r="G4319" s="2">
        <v>518238334</v>
      </c>
      <c r="H4319" s="2" t="s">
        <v>41</v>
      </c>
      <c r="I4319" s="2" t="s">
        <v>763</v>
      </c>
      <c r="J4319" s="2" t="s">
        <v>1359</v>
      </c>
      <c r="L4319" s="2" t="s">
        <v>419</v>
      </c>
      <c r="M4319" s="2" t="s">
        <v>41</v>
      </c>
      <c r="P4319" s="2" t="s">
        <v>94</v>
      </c>
      <c r="Q4319" s="16" t="s">
        <v>95</v>
      </c>
      <c r="R4319" s="15" t="s">
        <v>96</v>
      </c>
      <c r="S4319" s="13">
        <v>1</v>
      </c>
      <c r="T4319" s="14">
        <v>1.48</v>
      </c>
      <c r="U4319" s="2">
        <f t="shared" si="696"/>
        <v>0.34040000000000004</v>
      </c>
      <c r="V4319" s="2">
        <f t="shared" si="697"/>
        <v>1.8204</v>
      </c>
      <c r="W4319" s="2">
        <v>1.48</v>
      </c>
      <c r="X4319" s="5">
        <f t="shared" si="685"/>
        <v>0</v>
      </c>
      <c r="Z4319" s="2" t="s">
        <v>3233</v>
      </c>
      <c r="AA4319" s="2" t="s">
        <v>97</v>
      </c>
      <c r="AB4319" s="2" t="s">
        <v>77</v>
      </c>
      <c r="AC4319" s="2" t="s">
        <v>94</v>
      </c>
      <c r="AK4319" s="2">
        <f t="shared" si="694"/>
        <v>0</v>
      </c>
      <c r="AL4319" s="5">
        <f t="shared" si="695"/>
        <v>0</v>
      </c>
    </row>
    <row r="4320" spans="1:38" hidden="1" x14ac:dyDescent="0.2">
      <c r="A4320" s="2">
        <v>2026</v>
      </c>
      <c r="B4320" s="2">
        <v>7</v>
      </c>
      <c r="C4320" s="2" t="s">
        <v>3302</v>
      </c>
      <c r="D4320" s="15" t="s">
        <v>2563</v>
      </c>
      <c r="E4320" s="2" t="s">
        <v>109</v>
      </c>
      <c r="F4320" s="2" t="s">
        <v>718</v>
      </c>
      <c r="M4320" s="2" t="s">
        <v>81</v>
      </c>
      <c r="P4320" s="2" t="s">
        <v>73</v>
      </c>
      <c r="Q4320" s="16" t="s">
        <v>302</v>
      </c>
      <c r="R4320" s="15" t="s">
        <v>75</v>
      </c>
      <c r="S4320" s="13">
        <v>1</v>
      </c>
      <c r="T4320" s="14">
        <v>230</v>
      </c>
      <c r="U4320" s="2">
        <f t="shared" si="696"/>
        <v>52.900000000000006</v>
      </c>
      <c r="V4320" s="2">
        <f t="shared" si="697"/>
        <v>282.89999999999998</v>
      </c>
      <c r="W4320" s="2">
        <v>135.68</v>
      </c>
      <c r="X4320" s="5">
        <f t="shared" si="685"/>
        <v>0.4100869565217391</v>
      </c>
      <c r="Z4320" s="2" t="s">
        <v>3233</v>
      </c>
      <c r="AA4320" s="2" t="s">
        <v>76</v>
      </c>
      <c r="AB4320" s="2" t="s">
        <v>77</v>
      </c>
      <c r="AC4320" s="2" t="s">
        <v>78</v>
      </c>
      <c r="AK4320" s="2">
        <f t="shared" si="694"/>
        <v>94.32</v>
      </c>
      <c r="AL4320" s="5">
        <f t="shared" si="695"/>
        <v>0.4100869565217391</v>
      </c>
    </row>
    <row r="4321" spans="1:38" hidden="1" x14ac:dyDescent="0.2">
      <c r="A4321" s="2">
        <v>2026</v>
      </c>
      <c r="B4321" s="2">
        <v>7</v>
      </c>
      <c r="C4321" s="2" t="s">
        <v>3302</v>
      </c>
      <c r="D4321" s="15" t="s">
        <v>2563</v>
      </c>
      <c r="E4321" s="2" t="s">
        <v>109</v>
      </c>
      <c r="F4321" s="2" t="s">
        <v>718</v>
      </c>
      <c r="M4321" s="2" t="s">
        <v>81</v>
      </c>
      <c r="P4321" s="2" t="s">
        <v>94</v>
      </c>
      <c r="Q4321" s="16" t="s">
        <v>95</v>
      </c>
      <c r="R4321" s="15" t="s">
        <v>96</v>
      </c>
      <c r="S4321" s="13">
        <v>1</v>
      </c>
      <c r="T4321" s="14">
        <v>1.48</v>
      </c>
      <c r="U4321" s="2">
        <f t="shared" si="696"/>
        <v>0.34040000000000004</v>
      </c>
      <c r="V4321" s="2">
        <f t="shared" si="697"/>
        <v>1.8204</v>
      </c>
      <c r="X4321" s="5">
        <f t="shared" si="685"/>
        <v>1</v>
      </c>
      <c r="Z4321" s="2" t="s">
        <v>3233</v>
      </c>
      <c r="AA4321" s="2" t="s">
        <v>97</v>
      </c>
      <c r="AB4321" s="2" t="s">
        <v>77</v>
      </c>
      <c r="AC4321" s="2" t="s">
        <v>94</v>
      </c>
      <c r="AK4321" s="2">
        <f t="shared" si="694"/>
        <v>1.48</v>
      </c>
      <c r="AL4321" s="5">
        <f t="shared" si="695"/>
        <v>1</v>
      </c>
    </row>
    <row r="4322" spans="1:38" hidden="1" x14ac:dyDescent="0.2">
      <c r="A4322" s="2">
        <v>2026</v>
      </c>
      <c r="B4322" s="2">
        <v>7</v>
      </c>
      <c r="C4322" s="2" t="s">
        <v>3301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115</v>
      </c>
      <c r="Q4322" s="16" t="s">
        <v>3354</v>
      </c>
      <c r="R4322" s="15" t="s">
        <v>3355</v>
      </c>
      <c r="S4322" s="13">
        <v>1</v>
      </c>
      <c r="T4322" s="14">
        <v>37.6</v>
      </c>
      <c r="U4322" s="2">
        <f t="shared" si="696"/>
        <v>8.6480000000000015</v>
      </c>
      <c r="V4322" s="2">
        <f t="shared" si="697"/>
        <v>46.248000000000005</v>
      </c>
      <c r="W4322" s="2">
        <v>21.71</v>
      </c>
      <c r="X4322" s="5">
        <f t="shared" si="685"/>
        <v>0.42260638297872338</v>
      </c>
      <c r="Z4322" s="2" t="s">
        <v>118</v>
      </c>
      <c r="AA4322" s="2" t="s">
        <v>119</v>
      </c>
      <c r="AB4322" s="2" t="s">
        <v>120</v>
      </c>
      <c r="AC4322" s="2" t="s">
        <v>115</v>
      </c>
      <c r="AK4322" s="2">
        <f t="shared" si="694"/>
        <v>15.89</v>
      </c>
      <c r="AL4322" s="5">
        <f t="shared" si="695"/>
        <v>0.42260638297872338</v>
      </c>
    </row>
    <row r="4323" spans="1:38" hidden="1" x14ac:dyDescent="0.2">
      <c r="A4323" s="2">
        <v>2026</v>
      </c>
      <c r="B4323" s="2">
        <v>7</v>
      </c>
      <c r="C4323" s="2" t="s">
        <v>3302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189</v>
      </c>
      <c r="R4323" s="15" t="s">
        <v>190</v>
      </c>
      <c r="S4323" s="13">
        <v>1</v>
      </c>
      <c r="T4323" s="14">
        <v>60</v>
      </c>
      <c r="U4323" s="2">
        <f t="shared" si="696"/>
        <v>13.8</v>
      </c>
      <c r="V4323" s="2">
        <f t="shared" si="697"/>
        <v>73.8</v>
      </c>
      <c r="W4323" s="2">
        <f>T4323*40%</f>
        <v>24</v>
      </c>
      <c r="X4323" s="5">
        <f t="shared" si="685"/>
        <v>0.6</v>
      </c>
      <c r="Z4323" s="2" t="s">
        <v>118</v>
      </c>
      <c r="AA4323" s="2" t="s">
        <v>191</v>
      </c>
      <c r="AB4323" s="2" t="s">
        <v>190</v>
      </c>
      <c r="AC4323" s="2" t="s">
        <v>40</v>
      </c>
      <c r="AK4323" s="2">
        <f t="shared" si="694"/>
        <v>36</v>
      </c>
      <c r="AL4323" s="5">
        <f t="shared" si="695"/>
        <v>0.6</v>
      </c>
    </row>
    <row r="4324" spans="1:38" hidden="1" x14ac:dyDescent="0.2">
      <c r="A4324" s="2">
        <v>2026</v>
      </c>
      <c r="B4324" s="2">
        <v>7</v>
      </c>
      <c r="C4324" s="2" t="s">
        <v>3302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192</v>
      </c>
      <c r="R4324" s="15" t="s">
        <v>191</v>
      </c>
      <c r="S4324" s="13">
        <v>1</v>
      </c>
      <c r="T4324" s="14">
        <v>55</v>
      </c>
      <c r="U4324" s="2">
        <f t="shared" si="696"/>
        <v>12.65</v>
      </c>
      <c r="V4324" s="2">
        <f t="shared" si="697"/>
        <v>67.650000000000006</v>
      </c>
      <c r="W4324" s="2">
        <f>T4324*50%</f>
        <v>27.5</v>
      </c>
      <c r="X4324" s="5">
        <f t="shared" si="685"/>
        <v>0.5</v>
      </c>
      <c r="Z4324" s="2" t="s">
        <v>118</v>
      </c>
      <c r="AA4324" s="2" t="s">
        <v>191</v>
      </c>
      <c r="AB4324" s="2" t="s">
        <v>191</v>
      </c>
      <c r="AC4324" s="2" t="s">
        <v>40</v>
      </c>
      <c r="AK4324" s="2">
        <f t="shared" si="694"/>
        <v>27.5</v>
      </c>
      <c r="AL4324" s="5">
        <f t="shared" si="695"/>
        <v>0.5</v>
      </c>
    </row>
    <row r="4325" spans="1:38" hidden="1" x14ac:dyDescent="0.2">
      <c r="A4325" s="2">
        <v>2026</v>
      </c>
      <c r="B4325" s="2">
        <v>7</v>
      </c>
      <c r="C4325" s="2" t="s">
        <v>3301</v>
      </c>
      <c r="D4325" s="15" t="s">
        <v>745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746</v>
      </c>
      <c r="J4325" s="2" t="s">
        <v>747</v>
      </c>
      <c r="K4325" s="2">
        <v>962372760</v>
      </c>
      <c r="L4325" s="2" t="s">
        <v>202</v>
      </c>
      <c r="M4325" s="2" t="s">
        <v>40</v>
      </c>
      <c r="P4325" s="2" t="s">
        <v>170</v>
      </c>
      <c r="Q4325" s="16" t="s">
        <v>171</v>
      </c>
      <c r="R4325" s="15" t="s">
        <v>171</v>
      </c>
      <c r="S4325" s="13">
        <v>1</v>
      </c>
      <c r="T4325" s="14">
        <v>8</v>
      </c>
      <c r="U4325" s="2">
        <f t="shared" si="696"/>
        <v>1.84</v>
      </c>
      <c r="V4325" s="2">
        <f t="shared" si="697"/>
        <v>9.84</v>
      </c>
      <c r="X4325" s="5">
        <f t="shared" si="685"/>
        <v>1</v>
      </c>
      <c r="Z4325" s="2" t="s">
        <v>170</v>
      </c>
      <c r="AA4325" s="2" t="s">
        <v>170</v>
      </c>
      <c r="AK4325" s="2">
        <f t="shared" si="694"/>
        <v>8</v>
      </c>
      <c r="AL4325" s="5">
        <f t="shared" si="695"/>
        <v>1</v>
      </c>
    </row>
    <row r="4326" spans="1:38" hidden="1" x14ac:dyDescent="0.2">
      <c r="A4326" s="2">
        <v>2026</v>
      </c>
      <c r="B4326" s="2">
        <v>7</v>
      </c>
      <c r="D4326" s="15" t="s">
        <v>2000</v>
      </c>
      <c r="E4326" s="2" t="s">
        <v>38</v>
      </c>
      <c r="F4326" s="2" t="s">
        <v>39</v>
      </c>
      <c r="M4326" s="2" t="s">
        <v>81</v>
      </c>
      <c r="P4326" s="2" t="s">
        <v>73</v>
      </c>
      <c r="Q4326" s="16" t="s">
        <v>3281</v>
      </c>
      <c r="R4326" s="15" t="s">
        <v>308</v>
      </c>
      <c r="S4326" s="13">
        <v>1</v>
      </c>
      <c r="T4326" s="14">
        <v>240</v>
      </c>
      <c r="U4326" s="2">
        <f t="shared" si="696"/>
        <v>55.2</v>
      </c>
      <c r="V4326" s="2">
        <f t="shared" si="697"/>
        <v>295.2</v>
      </c>
      <c r="W4326" s="2">
        <v>119.95</v>
      </c>
      <c r="X4326" s="5">
        <f t="shared" si="685"/>
        <v>0.50020833333333337</v>
      </c>
      <c r="Z4326" s="2" t="s">
        <v>3233</v>
      </c>
      <c r="AA4326" s="2" t="s">
        <v>76</v>
      </c>
      <c r="AB4326" s="2" t="s">
        <v>77</v>
      </c>
      <c r="AC4326" s="2" t="s">
        <v>78</v>
      </c>
      <c r="AK4326" s="2">
        <f t="shared" si="694"/>
        <v>120.05</v>
      </c>
      <c r="AL4326" s="5">
        <f t="shared" si="695"/>
        <v>0.50020833333333337</v>
      </c>
    </row>
    <row r="4327" spans="1:38" hidden="1" x14ac:dyDescent="0.2">
      <c r="A4327" s="2">
        <v>2026</v>
      </c>
      <c r="B4327" s="2">
        <v>7</v>
      </c>
      <c r="D4327" s="15" t="s">
        <v>2000</v>
      </c>
      <c r="E4327" s="2" t="s">
        <v>38</v>
      </c>
      <c r="F4327" s="2" t="s">
        <v>39</v>
      </c>
      <c r="M4327" s="2" t="s">
        <v>81</v>
      </c>
      <c r="P4327" s="2" t="s">
        <v>94</v>
      </c>
      <c r="Q4327" s="16" t="s">
        <v>95</v>
      </c>
      <c r="R4327" s="15" t="s">
        <v>96</v>
      </c>
      <c r="S4327" s="13">
        <v>1</v>
      </c>
      <c r="T4327" s="14">
        <v>1.48</v>
      </c>
      <c r="U4327" s="2">
        <f t="shared" si="696"/>
        <v>0.34040000000000004</v>
      </c>
      <c r="V4327" s="2">
        <f t="shared" si="697"/>
        <v>1.8204</v>
      </c>
      <c r="W4327" s="2">
        <v>1.48</v>
      </c>
      <c r="X4327" s="5">
        <f t="shared" si="685"/>
        <v>0</v>
      </c>
      <c r="Z4327" s="2" t="s">
        <v>3233</v>
      </c>
      <c r="AA4327" s="2" t="s">
        <v>97</v>
      </c>
      <c r="AB4327" s="2" t="s">
        <v>77</v>
      </c>
      <c r="AC4327" s="2" t="s">
        <v>94</v>
      </c>
      <c r="AK4327" s="2">
        <f t="shared" si="694"/>
        <v>0</v>
      </c>
      <c r="AL4327" s="5">
        <f t="shared" si="695"/>
        <v>0</v>
      </c>
    </row>
    <row r="4328" spans="1:38" hidden="1" x14ac:dyDescent="0.2">
      <c r="A4328" s="2">
        <v>2026</v>
      </c>
      <c r="B4328" s="2">
        <v>7</v>
      </c>
      <c r="C4328" s="2" t="s">
        <v>3302</v>
      </c>
      <c r="D4328" s="15" t="s">
        <v>360</v>
      </c>
      <c r="M4328" s="2" t="s">
        <v>81</v>
      </c>
      <c r="P4328" s="2" t="s">
        <v>73</v>
      </c>
      <c r="Q4328" s="16" t="s">
        <v>331</v>
      </c>
      <c r="R4328" s="15" t="s">
        <v>332</v>
      </c>
      <c r="S4328" s="13">
        <v>1</v>
      </c>
      <c r="T4328" s="14">
        <v>200</v>
      </c>
      <c r="U4328" s="2">
        <f t="shared" si="696"/>
        <v>46</v>
      </c>
      <c r="V4328" s="2">
        <f t="shared" si="697"/>
        <v>246</v>
      </c>
      <c r="W4328" s="2">
        <v>124.6</v>
      </c>
      <c r="X4328" s="5">
        <f t="shared" si="685"/>
        <v>0.377</v>
      </c>
      <c r="Z4328" s="2" t="s">
        <v>3233</v>
      </c>
      <c r="AA4328" s="2" t="s">
        <v>76</v>
      </c>
      <c r="AB4328" s="2" t="s">
        <v>77</v>
      </c>
      <c r="AC4328" s="2" t="s">
        <v>78</v>
      </c>
      <c r="AK4328" s="2">
        <f t="shared" si="694"/>
        <v>75.400000000000006</v>
      </c>
      <c r="AL4328" s="5">
        <f t="shared" si="695"/>
        <v>0.377</v>
      </c>
    </row>
    <row r="4329" spans="1:38" hidden="1" x14ac:dyDescent="0.2">
      <c r="A4329" s="2">
        <v>2026</v>
      </c>
      <c r="B4329" s="2">
        <v>7</v>
      </c>
      <c r="C4329" s="2" t="s">
        <v>3302</v>
      </c>
      <c r="D4329" s="15" t="s">
        <v>360</v>
      </c>
      <c r="M4329" s="2" t="s">
        <v>81</v>
      </c>
      <c r="P4329" s="2" t="s">
        <v>94</v>
      </c>
      <c r="Q4329" s="16" t="s">
        <v>95</v>
      </c>
      <c r="R4329" s="15" t="s">
        <v>96</v>
      </c>
      <c r="S4329" s="13">
        <v>1</v>
      </c>
      <c r="T4329" s="14">
        <v>1.48</v>
      </c>
      <c r="U4329" s="2">
        <f t="shared" si="696"/>
        <v>0.34040000000000004</v>
      </c>
      <c r="V4329" s="2">
        <f t="shared" si="697"/>
        <v>1.8204</v>
      </c>
      <c r="X4329" s="5">
        <f t="shared" si="685"/>
        <v>1</v>
      </c>
      <c r="Z4329" s="2" t="s">
        <v>3233</v>
      </c>
      <c r="AA4329" s="2" t="s">
        <v>97</v>
      </c>
      <c r="AB4329" s="2" t="s">
        <v>77</v>
      </c>
      <c r="AC4329" s="2" t="s">
        <v>94</v>
      </c>
      <c r="AK4329" s="2">
        <f t="shared" si="694"/>
        <v>1.48</v>
      </c>
      <c r="AL4329" s="5">
        <f t="shared" si="695"/>
        <v>1</v>
      </c>
    </row>
    <row r="4330" spans="1:38" hidden="1" x14ac:dyDescent="0.2">
      <c r="A4330" s="2">
        <v>2026</v>
      </c>
      <c r="B4330" s="2">
        <v>7</v>
      </c>
      <c r="C4330" s="2" t="s">
        <v>3302</v>
      </c>
      <c r="D4330" s="15" t="s">
        <v>3342</v>
      </c>
      <c r="E4330" s="2" t="s">
        <v>3385</v>
      </c>
      <c r="F4330" s="2" t="s">
        <v>39</v>
      </c>
      <c r="H4330" s="2" t="s">
        <v>41</v>
      </c>
      <c r="M4330" s="2" t="s">
        <v>40</v>
      </c>
      <c r="P4330" s="2" t="s">
        <v>283</v>
      </c>
      <c r="Q4330" s="16" t="s">
        <v>1289</v>
      </c>
      <c r="R4330" s="15" t="s">
        <v>1290</v>
      </c>
      <c r="S4330" s="13">
        <v>1</v>
      </c>
      <c r="T4330" s="14">
        <v>2000</v>
      </c>
      <c r="U4330" s="2">
        <f t="shared" si="696"/>
        <v>460</v>
      </c>
      <c r="V4330" s="2">
        <f t="shared" si="697"/>
        <v>2460</v>
      </c>
      <c r="W4330" s="2">
        <v>1150</v>
      </c>
      <c r="X4330" s="5">
        <f t="shared" si="685"/>
        <v>0.42499999999999999</v>
      </c>
      <c r="Z4330" s="2" t="s">
        <v>105</v>
      </c>
      <c r="AA4330" s="2" t="s">
        <v>1579</v>
      </c>
      <c r="AB4330" s="2" t="s">
        <v>389</v>
      </c>
      <c r="AC4330" s="2" t="s">
        <v>1330</v>
      </c>
      <c r="AK4330" s="2">
        <f t="shared" si="694"/>
        <v>850</v>
      </c>
      <c r="AL4330" s="5">
        <f t="shared" si="695"/>
        <v>0.42499999999999999</v>
      </c>
    </row>
    <row r="4331" spans="1:38" hidden="1" x14ac:dyDescent="0.2">
      <c r="A4331" s="2">
        <v>2026</v>
      </c>
      <c r="B4331" s="2">
        <v>7</v>
      </c>
      <c r="C4331" s="2" t="s">
        <v>3302</v>
      </c>
      <c r="D4331" s="15" t="s">
        <v>3342</v>
      </c>
      <c r="E4331" s="2" t="s">
        <v>3385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1160</v>
      </c>
      <c r="R4331" s="15" t="s">
        <v>1161</v>
      </c>
      <c r="S4331" s="13">
        <v>1</v>
      </c>
      <c r="T4331" s="14">
        <v>0</v>
      </c>
      <c r="U4331" s="2">
        <f t="shared" si="696"/>
        <v>0</v>
      </c>
      <c r="V4331" s="2">
        <f t="shared" si="697"/>
        <v>0</v>
      </c>
      <c r="W4331" s="2">
        <v>0</v>
      </c>
      <c r="X4331" s="5">
        <v>0</v>
      </c>
      <c r="Z4331" s="2" t="s">
        <v>105</v>
      </c>
      <c r="AA4331" s="2" t="s">
        <v>1579</v>
      </c>
      <c r="AB4331" s="2" t="s">
        <v>389</v>
      </c>
      <c r="AC4331" s="2" t="s">
        <v>1330</v>
      </c>
      <c r="AK4331" s="2">
        <f t="shared" si="694"/>
        <v>0</v>
      </c>
      <c r="AL4331" s="5">
        <v>0</v>
      </c>
    </row>
    <row r="4332" spans="1:38" ht="10.5" hidden="1" customHeight="1" x14ac:dyDescent="0.2">
      <c r="A4332" s="2">
        <v>2026</v>
      </c>
      <c r="B4332" s="2">
        <v>7</v>
      </c>
      <c r="C4332" s="2" t="s">
        <v>3302</v>
      </c>
      <c r="D4332" s="15" t="s">
        <v>3342</v>
      </c>
      <c r="E4332" s="2" t="s">
        <v>3385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1291</v>
      </c>
      <c r="R4332" s="15" t="s">
        <v>1292</v>
      </c>
      <c r="S4332" s="13">
        <v>1</v>
      </c>
      <c r="T4332" s="14">
        <v>0</v>
      </c>
      <c r="U4332" s="2">
        <f t="shared" si="696"/>
        <v>0</v>
      </c>
      <c r="V4332" s="2">
        <f t="shared" si="697"/>
        <v>0</v>
      </c>
      <c r="W4332" s="2">
        <v>0</v>
      </c>
      <c r="X4332" s="5">
        <v>0</v>
      </c>
      <c r="Z4332" s="2" t="s">
        <v>105</v>
      </c>
      <c r="AA4332" s="2" t="s">
        <v>1579</v>
      </c>
      <c r="AB4332" s="2" t="s">
        <v>389</v>
      </c>
      <c r="AC4332" s="2" t="s">
        <v>1330</v>
      </c>
      <c r="AK4332" s="2">
        <f t="shared" si="694"/>
        <v>0</v>
      </c>
      <c r="AL4332" s="5">
        <v>0</v>
      </c>
    </row>
    <row r="4333" spans="1:38" hidden="1" x14ac:dyDescent="0.2">
      <c r="A4333" s="2">
        <v>2026</v>
      </c>
      <c r="B4333" s="2">
        <v>7</v>
      </c>
      <c r="C4333" s="2" t="s">
        <v>3302</v>
      </c>
      <c r="D4333" s="15" t="s">
        <v>2950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73</v>
      </c>
      <c r="Q4333" s="16" t="s">
        <v>3356</v>
      </c>
      <c r="R4333" s="15" t="s">
        <v>75</v>
      </c>
      <c r="S4333" s="13">
        <v>1</v>
      </c>
      <c r="T4333" s="14">
        <v>270</v>
      </c>
      <c r="U4333" s="2">
        <f t="shared" si="696"/>
        <v>62.1</v>
      </c>
      <c r="V4333" s="2">
        <f t="shared" si="697"/>
        <v>332.1</v>
      </c>
      <c r="W4333" s="2">
        <f>118.44+11.7</f>
        <v>130.13999999999999</v>
      </c>
      <c r="X4333" s="5">
        <f t="shared" si="685"/>
        <v>0.51800000000000002</v>
      </c>
      <c r="Z4333" s="2" t="s">
        <v>3233</v>
      </c>
      <c r="AA4333" s="2" t="s">
        <v>76</v>
      </c>
      <c r="AB4333" s="2" t="s">
        <v>77</v>
      </c>
      <c r="AC4333" s="2" t="s">
        <v>78</v>
      </c>
      <c r="AK4333" s="2">
        <f t="shared" si="694"/>
        <v>139.86000000000001</v>
      </c>
      <c r="AL4333" s="5">
        <f t="shared" si="695"/>
        <v>0.51800000000000002</v>
      </c>
    </row>
    <row r="4334" spans="1:38" hidden="1" x14ac:dyDescent="0.2">
      <c r="A4334" s="2">
        <v>2026</v>
      </c>
      <c r="B4334" s="2">
        <v>7</v>
      </c>
      <c r="C4334" s="2" t="s">
        <v>3302</v>
      </c>
      <c r="D4334" s="15" t="s">
        <v>2950</v>
      </c>
      <c r="E4334" s="2" t="s">
        <v>753</v>
      </c>
      <c r="F4334" s="2" t="s">
        <v>39</v>
      </c>
      <c r="L4334" s="2" t="s">
        <v>481</v>
      </c>
      <c r="M4334" s="2" t="s">
        <v>81</v>
      </c>
      <c r="P4334" s="2" t="s">
        <v>94</v>
      </c>
      <c r="Q4334" s="16" t="s">
        <v>95</v>
      </c>
      <c r="R4334" s="15" t="s">
        <v>96</v>
      </c>
      <c r="S4334" s="13">
        <v>1</v>
      </c>
      <c r="T4334" s="14">
        <v>1.48</v>
      </c>
      <c r="U4334" s="2">
        <f t="shared" si="696"/>
        <v>0.34040000000000004</v>
      </c>
      <c r="V4334" s="2">
        <f t="shared" si="697"/>
        <v>1.8204</v>
      </c>
      <c r="W4334" s="2">
        <v>1.48</v>
      </c>
      <c r="X4334" s="5">
        <f t="shared" si="685"/>
        <v>0</v>
      </c>
      <c r="Z4334" s="2" t="s">
        <v>3233</v>
      </c>
      <c r="AA4334" s="2" t="s">
        <v>97</v>
      </c>
      <c r="AB4334" s="2" t="s">
        <v>77</v>
      </c>
      <c r="AC4334" s="2" t="s">
        <v>94</v>
      </c>
      <c r="AK4334" s="2">
        <f t="shared" si="694"/>
        <v>0</v>
      </c>
      <c r="AL4334" s="5">
        <f t="shared" si="695"/>
        <v>0</v>
      </c>
    </row>
    <row r="4335" spans="1:38" hidden="1" x14ac:dyDescent="0.2">
      <c r="A4335" s="2">
        <v>2026</v>
      </c>
      <c r="B4335" s="2">
        <v>7</v>
      </c>
      <c r="D4335" s="15" t="s">
        <v>1230</v>
      </c>
      <c r="M4335" s="2" t="s">
        <v>40</v>
      </c>
      <c r="P4335" s="2" t="s">
        <v>188</v>
      </c>
      <c r="Q4335" s="16" t="s">
        <v>189</v>
      </c>
      <c r="R4335" s="15" t="s">
        <v>190</v>
      </c>
      <c r="S4335" s="13">
        <v>1</v>
      </c>
      <c r="T4335" s="14">
        <v>73</v>
      </c>
      <c r="U4335" s="2">
        <f t="shared" si="696"/>
        <v>16.79</v>
      </c>
      <c r="V4335" s="2">
        <f t="shared" si="697"/>
        <v>89.789999999999992</v>
      </c>
      <c r="W4335" s="2">
        <f>T4335*40%</f>
        <v>29.200000000000003</v>
      </c>
      <c r="X4335" s="5">
        <f t="shared" si="685"/>
        <v>0.6</v>
      </c>
      <c r="Z4335" s="2" t="s">
        <v>118</v>
      </c>
      <c r="AA4335" s="2" t="s">
        <v>191</v>
      </c>
      <c r="AB4335" s="2" t="s">
        <v>190</v>
      </c>
      <c r="AC4335" s="2" t="s">
        <v>40</v>
      </c>
      <c r="AK4335" s="2">
        <f t="shared" si="694"/>
        <v>43.8</v>
      </c>
      <c r="AL4335" s="5">
        <f t="shared" si="695"/>
        <v>0.6</v>
      </c>
    </row>
    <row r="4336" spans="1:38" hidden="1" x14ac:dyDescent="0.2">
      <c r="A4336" s="2">
        <v>2026</v>
      </c>
      <c r="B4336" s="2">
        <v>7</v>
      </c>
      <c r="D4336" s="15" t="s">
        <v>1230</v>
      </c>
      <c r="M4336" s="2" t="s">
        <v>40</v>
      </c>
      <c r="P4336" s="2" t="s">
        <v>188</v>
      </c>
      <c r="Q4336" s="16" t="s">
        <v>192</v>
      </c>
      <c r="R4336" s="15" t="s">
        <v>191</v>
      </c>
      <c r="S4336" s="13">
        <v>1</v>
      </c>
      <c r="T4336" s="14">
        <v>55</v>
      </c>
      <c r="U4336" s="2">
        <f t="shared" si="696"/>
        <v>12.65</v>
      </c>
      <c r="V4336" s="2">
        <f t="shared" si="697"/>
        <v>67.650000000000006</v>
      </c>
      <c r="W4336" s="2">
        <f>T4336*50%</f>
        <v>27.5</v>
      </c>
      <c r="X4336" s="5">
        <f t="shared" ref="X4336:X4399" si="698">(T4336-W4336)/T4336</f>
        <v>0.5</v>
      </c>
      <c r="Z4336" s="2" t="s">
        <v>118</v>
      </c>
      <c r="AA4336" s="2" t="s">
        <v>191</v>
      </c>
      <c r="AB4336" s="2" t="s">
        <v>191</v>
      </c>
      <c r="AC4336" s="2" t="s">
        <v>40</v>
      </c>
      <c r="AK4336" s="2">
        <f t="shared" si="694"/>
        <v>27.5</v>
      </c>
      <c r="AL4336" s="5">
        <f t="shared" si="695"/>
        <v>0.5</v>
      </c>
    </row>
    <row r="4337" spans="1:38" hidden="1" x14ac:dyDescent="0.2">
      <c r="A4337" s="2">
        <v>2026</v>
      </c>
      <c r="B4337" s="2">
        <v>7</v>
      </c>
      <c r="D4337" s="15" t="s">
        <v>1558</v>
      </c>
      <c r="P4337" s="2" t="s">
        <v>73</v>
      </c>
      <c r="Q4337" s="16" t="s">
        <v>3356</v>
      </c>
      <c r="R4337" s="15" t="s">
        <v>75</v>
      </c>
      <c r="S4337" s="13">
        <v>1</v>
      </c>
      <c r="T4337" s="14">
        <v>220</v>
      </c>
      <c r="U4337" s="2">
        <f t="shared" si="696"/>
        <v>50.6</v>
      </c>
      <c r="V4337" s="2">
        <f t="shared" si="697"/>
        <v>270.60000000000002</v>
      </c>
      <c r="W4337" s="2">
        <f>118.44+11.7</f>
        <v>130.13999999999999</v>
      </c>
      <c r="X4337" s="5">
        <f t="shared" si="698"/>
        <v>0.40845454545454551</v>
      </c>
      <c r="Z4337" s="2" t="s">
        <v>3233</v>
      </c>
      <c r="AA4337" s="2" t="s">
        <v>76</v>
      </c>
      <c r="AB4337" s="2" t="s">
        <v>77</v>
      </c>
      <c r="AC4337" s="2" t="s">
        <v>78</v>
      </c>
      <c r="AK4337" s="2">
        <f t="shared" si="694"/>
        <v>89.860000000000014</v>
      </c>
      <c r="AL4337" s="5">
        <f t="shared" si="695"/>
        <v>0.40845454545454551</v>
      </c>
    </row>
    <row r="4338" spans="1:38" hidden="1" x14ac:dyDescent="0.2">
      <c r="A4338" s="2">
        <v>2026</v>
      </c>
      <c r="B4338" s="2">
        <v>7</v>
      </c>
      <c r="D4338" s="15" t="s">
        <v>1558</v>
      </c>
      <c r="P4338" s="2" t="s">
        <v>94</v>
      </c>
      <c r="Q4338" s="16" t="s">
        <v>95</v>
      </c>
      <c r="R4338" s="15" t="s">
        <v>96</v>
      </c>
      <c r="S4338" s="13">
        <v>1</v>
      </c>
      <c r="T4338" s="14">
        <v>1.48</v>
      </c>
      <c r="U4338" s="2">
        <f t="shared" si="696"/>
        <v>0.34040000000000004</v>
      </c>
      <c r="V4338" s="2">
        <f t="shared" si="697"/>
        <v>1.8204</v>
      </c>
      <c r="X4338" s="5">
        <f t="shared" si="698"/>
        <v>1</v>
      </c>
      <c r="Z4338" s="2" t="s">
        <v>3233</v>
      </c>
      <c r="AA4338" s="2" t="s">
        <v>97</v>
      </c>
      <c r="AB4338" s="2" t="s">
        <v>77</v>
      </c>
      <c r="AC4338" s="2" t="s">
        <v>94</v>
      </c>
      <c r="AK4338" s="2">
        <f t="shared" si="694"/>
        <v>1.48</v>
      </c>
      <c r="AL4338" s="5">
        <f t="shared" si="695"/>
        <v>1</v>
      </c>
    </row>
    <row r="4339" spans="1:38" hidden="1" x14ac:dyDescent="0.2">
      <c r="A4339" s="2">
        <v>2026</v>
      </c>
      <c r="B4339" s="2">
        <v>7</v>
      </c>
      <c r="C4339" s="2" t="s">
        <v>3302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115</v>
      </c>
      <c r="Q4339" s="16" t="s">
        <v>3357</v>
      </c>
      <c r="R4339" s="15" t="s">
        <v>3358</v>
      </c>
      <c r="S4339" s="13">
        <v>1</v>
      </c>
      <c r="T4339" s="14">
        <v>59.17</v>
      </c>
      <c r="U4339" s="2">
        <f t="shared" si="696"/>
        <v>13.609100000000002</v>
      </c>
      <c r="V4339" s="2">
        <f t="shared" si="697"/>
        <v>72.7791</v>
      </c>
      <c r="W4339" s="2">
        <v>28.25</v>
      </c>
      <c r="X4339" s="5">
        <f t="shared" si="698"/>
        <v>0.52256210917694779</v>
      </c>
      <c r="Z4339" s="2" t="s">
        <v>118</v>
      </c>
      <c r="AA4339" s="2" t="s">
        <v>119</v>
      </c>
      <c r="AB4339" s="2" t="s">
        <v>120</v>
      </c>
      <c r="AC4339" s="2" t="s">
        <v>115</v>
      </c>
      <c r="AK4339" s="2">
        <f t="shared" si="694"/>
        <v>30.92</v>
      </c>
      <c r="AL4339" s="5">
        <f t="shared" si="695"/>
        <v>0.52256210917694779</v>
      </c>
    </row>
    <row r="4340" spans="1:38" hidden="1" x14ac:dyDescent="0.2">
      <c r="A4340" s="2">
        <v>2026</v>
      </c>
      <c r="B4340" s="2">
        <v>7</v>
      </c>
      <c r="C4340" s="2" t="s">
        <v>3302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188</v>
      </c>
      <c r="Q4340" s="16" t="s">
        <v>189</v>
      </c>
      <c r="R4340" s="15" t="s">
        <v>190</v>
      </c>
      <c r="S4340" s="13">
        <v>1</v>
      </c>
      <c r="T4340" s="14">
        <v>60</v>
      </c>
      <c r="U4340" s="2">
        <f t="shared" si="696"/>
        <v>13.8</v>
      </c>
      <c r="V4340" s="2">
        <f t="shared" si="697"/>
        <v>73.8</v>
      </c>
      <c r="W4340" s="2">
        <f>T4340*40%</f>
        <v>24</v>
      </c>
      <c r="X4340" s="5">
        <f t="shared" si="698"/>
        <v>0.6</v>
      </c>
      <c r="Z4340" s="2" t="s">
        <v>118</v>
      </c>
      <c r="AA4340" s="2" t="s">
        <v>191</v>
      </c>
      <c r="AB4340" s="2" t="s">
        <v>190</v>
      </c>
      <c r="AC4340" s="2" t="s">
        <v>40</v>
      </c>
      <c r="AK4340" s="2">
        <f t="shared" si="694"/>
        <v>36</v>
      </c>
      <c r="AL4340" s="5">
        <f t="shared" si="695"/>
        <v>0.6</v>
      </c>
    </row>
    <row r="4341" spans="1:38" hidden="1" x14ac:dyDescent="0.2">
      <c r="A4341" s="2">
        <v>2026</v>
      </c>
      <c r="B4341" s="2">
        <v>7</v>
      </c>
      <c r="C4341" s="2" t="s">
        <v>3447</v>
      </c>
      <c r="D4341" s="15" t="s">
        <v>804</v>
      </c>
      <c r="E4341" s="2" t="s">
        <v>38</v>
      </c>
      <c r="F4341" s="2" t="s">
        <v>39</v>
      </c>
      <c r="L4341" s="2" t="s">
        <v>100</v>
      </c>
      <c r="M4341" s="2" t="s">
        <v>40</v>
      </c>
      <c r="P4341" s="2" t="s">
        <v>115</v>
      </c>
      <c r="Q4341" s="16" t="s">
        <v>192</v>
      </c>
      <c r="R4341" s="15" t="s">
        <v>191</v>
      </c>
      <c r="S4341" s="13">
        <v>1</v>
      </c>
      <c r="T4341" s="14">
        <v>55</v>
      </c>
      <c r="U4341" s="2">
        <f t="shared" si="696"/>
        <v>12.65</v>
      </c>
      <c r="V4341" s="2">
        <f t="shared" si="697"/>
        <v>67.650000000000006</v>
      </c>
      <c r="W4341" s="2">
        <f>T4341*50%</f>
        <v>27.5</v>
      </c>
      <c r="X4341" s="5">
        <f t="shared" si="698"/>
        <v>0.5</v>
      </c>
      <c r="Z4341" s="2" t="s">
        <v>118</v>
      </c>
      <c r="AA4341" s="2" t="s">
        <v>191</v>
      </c>
      <c r="AB4341" s="2" t="s">
        <v>191</v>
      </c>
      <c r="AC4341" s="2" t="s">
        <v>40</v>
      </c>
      <c r="AK4341" s="2">
        <f t="shared" si="694"/>
        <v>27.5</v>
      </c>
      <c r="AL4341" s="5">
        <f t="shared" si="695"/>
        <v>0.5</v>
      </c>
    </row>
    <row r="4342" spans="1:38" hidden="1" x14ac:dyDescent="0.2">
      <c r="A4342" s="2">
        <v>2026</v>
      </c>
      <c r="B4342" s="2">
        <v>7</v>
      </c>
      <c r="D4342" s="15" t="s">
        <v>1379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73</v>
      </c>
      <c r="Q4342" s="16" t="s">
        <v>74</v>
      </c>
      <c r="R4342" s="15" t="s">
        <v>75</v>
      </c>
      <c r="S4342" s="13">
        <v>1</v>
      </c>
      <c r="T4342" s="14">
        <v>220</v>
      </c>
      <c r="U4342" s="2">
        <f t="shared" si="696"/>
        <v>50.6</v>
      </c>
      <c r="V4342" s="2">
        <f t="shared" si="697"/>
        <v>270.60000000000002</v>
      </c>
      <c r="W4342" s="2">
        <v>125.51600000000001</v>
      </c>
      <c r="X4342" s="5">
        <f t="shared" si="698"/>
        <v>0.42947272727272723</v>
      </c>
      <c r="Z4342" s="2" t="s">
        <v>3233</v>
      </c>
      <c r="AA4342" s="2" t="s">
        <v>76</v>
      </c>
      <c r="AB4342" s="2" t="s">
        <v>77</v>
      </c>
      <c r="AC4342" s="2" t="s">
        <v>78</v>
      </c>
      <c r="AK4342" s="2">
        <f t="shared" si="694"/>
        <v>94.483999999999995</v>
      </c>
      <c r="AL4342" s="5">
        <f t="shared" si="695"/>
        <v>0.42947272727272723</v>
      </c>
    </row>
    <row r="4343" spans="1:38" hidden="1" x14ac:dyDescent="0.2">
      <c r="A4343" s="2">
        <v>2026</v>
      </c>
      <c r="B4343" s="2">
        <v>7</v>
      </c>
      <c r="D4343" s="15" t="s">
        <v>1379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94</v>
      </c>
      <c r="Q4343" s="16" t="s">
        <v>95</v>
      </c>
      <c r="R4343" s="15" t="s">
        <v>96</v>
      </c>
      <c r="S4343" s="13">
        <v>1</v>
      </c>
      <c r="T4343" s="14">
        <v>1.48</v>
      </c>
      <c r="U4343" s="2">
        <f t="shared" si="696"/>
        <v>0.34040000000000004</v>
      </c>
      <c r="V4343" s="2">
        <f t="shared" si="697"/>
        <v>1.8204</v>
      </c>
      <c r="W4343" s="2">
        <v>1.48</v>
      </c>
      <c r="X4343" s="5">
        <f t="shared" si="698"/>
        <v>0</v>
      </c>
      <c r="Z4343" s="2" t="s">
        <v>3233</v>
      </c>
      <c r="AA4343" s="2" t="s">
        <v>97</v>
      </c>
      <c r="AB4343" s="2" t="s">
        <v>77</v>
      </c>
      <c r="AC4343" s="2" t="s">
        <v>94</v>
      </c>
      <c r="AK4343" s="2">
        <f t="shared" si="694"/>
        <v>0</v>
      </c>
      <c r="AL4343" s="5">
        <f t="shared" si="695"/>
        <v>0</v>
      </c>
    </row>
    <row r="4344" spans="1:38" hidden="1" x14ac:dyDescent="0.2">
      <c r="A4344" s="2">
        <v>2026</v>
      </c>
      <c r="B4344" s="2">
        <v>7</v>
      </c>
      <c r="D4344" s="15" t="s">
        <v>437</v>
      </c>
      <c r="P4344" s="2" t="s">
        <v>73</v>
      </c>
      <c r="Q4344" s="16" t="s">
        <v>74</v>
      </c>
      <c r="R4344" s="15" t="s">
        <v>75</v>
      </c>
      <c r="S4344" s="13">
        <v>1</v>
      </c>
      <c r="T4344" s="14">
        <v>220</v>
      </c>
      <c r="U4344" s="2">
        <f t="shared" si="696"/>
        <v>50.6</v>
      </c>
      <c r="V4344" s="2">
        <f t="shared" si="697"/>
        <v>270.60000000000002</v>
      </c>
      <c r="W4344" s="2">
        <v>125.51600000000001</v>
      </c>
      <c r="X4344" s="5">
        <f t="shared" si="698"/>
        <v>0.42947272727272723</v>
      </c>
      <c r="Z4344" s="2" t="s">
        <v>3233</v>
      </c>
      <c r="AA4344" s="2" t="s">
        <v>76</v>
      </c>
      <c r="AB4344" s="2" t="s">
        <v>77</v>
      </c>
      <c r="AC4344" s="2" t="s">
        <v>78</v>
      </c>
      <c r="AK4344" s="2">
        <f t="shared" si="694"/>
        <v>94.483999999999995</v>
      </c>
      <c r="AL4344" s="5">
        <f t="shared" si="695"/>
        <v>0.42947272727272723</v>
      </c>
    </row>
    <row r="4345" spans="1:38" hidden="1" x14ac:dyDescent="0.2">
      <c r="A4345" s="2">
        <v>2026</v>
      </c>
      <c r="B4345" s="2">
        <v>7</v>
      </c>
      <c r="D4345" s="15" t="s">
        <v>437</v>
      </c>
      <c r="P4345" s="2" t="s">
        <v>94</v>
      </c>
      <c r="Q4345" s="16" t="s">
        <v>95</v>
      </c>
      <c r="R4345" s="15" t="s">
        <v>96</v>
      </c>
      <c r="S4345" s="13">
        <v>1</v>
      </c>
      <c r="T4345" s="14">
        <v>1.48</v>
      </c>
      <c r="U4345" s="2">
        <f t="shared" si="696"/>
        <v>0.34040000000000004</v>
      </c>
      <c r="V4345" s="2">
        <f t="shared" si="697"/>
        <v>1.8204</v>
      </c>
      <c r="X4345" s="5">
        <f t="shared" si="698"/>
        <v>1</v>
      </c>
      <c r="Z4345" s="2" t="s">
        <v>3233</v>
      </c>
      <c r="AA4345" s="2" t="s">
        <v>97</v>
      </c>
      <c r="AB4345" s="2" t="s">
        <v>77</v>
      </c>
      <c r="AC4345" s="2" t="s">
        <v>94</v>
      </c>
      <c r="AK4345" s="2">
        <f t="shared" si="694"/>
        <v>1.48</v>
      </c>
      <c r="AL4345" s="5">
        <f t="shared" si="695"/>
        <v>1</v>
      </c>
    </row>
    <row r="4346" spans="1:38" hidden="1" x14ac:dyDescent="0.2">
      <c r="A4346" s="2">
        <v>2026</v>
      </c>
      <c r="B4346" s="2">
        <v>7</v>
      </c>
      <c r="C4346" s="2" t="s">
        <v>3301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1389</v>
      </c>
      <c r="R4346" s="15" t="s">
        <v>1390</v>
      </c>
      <c r="S4346" s="13">
        <v>1</v>
      </c>
      <c r="T4346" s="14">
        <v>508.68</v>
      </c>
      <c r="U4346" s="2">
        <f t="shared" si="696"/>
        <v>116.99640000000001</v>
      </c>
      <c r="V4346" s="2">
        <f t="shared" si="697"/>
        <v>625.67640000000006</v>
      </c>
      <c r="W4346" s="2">
        <v>178.3383</v>
      </c>
      <c r="X4346" s="5">
        <f t="shared" si="698"/>
        <v>0.64940964850200522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694"/>
        <v>330.3417</v>
      </c>
      <c r="AL4346" s="5">
        <f t="shared" si="695"/>
        <v>0.64940964850200522</v>
      </c>
    </row>
    <row r="4347" spans="1:38" hidden="1" x14ac:dyDescent="0.2">
      <c r="A4347" s="2">
        <v>2026</v>
      </c>
      <c r="B4347" s="2">
        <v>7</v>
      </c>
      <c r="C4347" s="2" t="s">
        <v>3301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647</v>
      </c>
      <c r="R4347" s="15" t="s">
        <v>648</v>
      </c>
      <c r="S4347" s="13">
        <v>1</v>
      </c>
      <c r="T4347" s="14">
        <v>90.66</v>
      </c>
      <c r="U4347" s="2">
        <f t="shared" si="696"/>
        <v>20.851800000000001</v>
      </c>
      <c r="V4347" s="2">
        <f t="shared" si="697"/>
        <v>111.51179999999999</v>
      </c>
      <c r="W4347" s="2">
        <v>30.61</v>
      </c>
      <c r="X4347" s="5">
        <f t="shared" si="698"/>
        <v>0.66236487977057135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94"/>
        <v>60.05</v>
      </c>
      <c r="AL4347" s="5">
        <f t="shared" si="695"/>
        <v>0.66236487977057135</v>
      </c>
    </row>
    <row r="4348" spans="1:38" hidden="1" x14ac:dyDescent="0.2">
      <c r="A4348" s="2">
        <v>2026</v>
      </c>
      <c r="B4348" s="2">
        <v>7</v>
      </c>
      <c r="C4348" s="2" t="s">
        <v>3301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189</v>
      </c>
      <c r="R4348" s="15" t="s">
        <v>190</v>
      </c>
      <c r="S4348" s="13">
        <v>2</v>
      </c>
      <c r="T4348" s="14">
        <v>368</v>
      </c>
      <c r="U4348" s="2">
        <f t="shared" si="696"/>
        <v>84.64</v>
      </c>
      <c r="V4348" s="2">
        <f t="shared" si="697"/>
        <v>452.64</v>
      </c>
      <c r="W4348" s="2">
        <f>T4348*40%</f>
        <v>147.20000000000002</v>
      </c>
      <c r="X4348" s="5">
        <f t="shared" si="698"/>
        <v>0.6</v>
      </c>
      <c r="Z4348" s="2" t="s">
        <v>118</v>
      </c>
      <c r="AA4348" s="2" t="s">
        <v>191</v>
      </c>
      <c r="AB4348" s="2" t="s">
        <v>190</v>
      </c>
      <c r="AC4348" s="2" t="s">
        <v>40</v>
      </c>
      <c r="AK4348" s="2">
        <f t="shared" si="694"/>
        <v>220.79999999999998</v>
      </c>
      <c r="AL4348" s="5">
        <f t="shared" si="695"/>
        <v>0.6</v>
      </c>
    </row>
    <row r="4349" spans="1:38" hidden="1" x14ac:dyDescent="0.2">
      <c r="A4349" s="2">
        <v>2026</v>
      </c>
      <c r="B4349" s="2">
        <v>7</v>
      </c>
      <c r="C4349" s="2" t="s">
        <v>3301</v>
      </c>
      <c r="D4349" s="15" t="s">
        <v>817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192</v>
      </c>
      <c r="R4349" s="15" t="s">
        <v>191</v>
      </c>
      <c r="S4349" s="13">
        <v>4</v>
      </c>
      <c r="T4349" s="14">
        <v>220</v>
      </c>
      <c r="U4349" s="2">
        <f t="shared" si="696"/>
        <v>50.6</v>
      </c>
      <c r="V4349" s="2">
        <f t="shared" si="697"/>
        <v>270.60000000000002</v>
      </c>
      <c r="W4349" s="2">
        <f>T4349*50%</f>
        <v>110</v>
      </c>
      <c r="X4349" s="5">
        <f t="shared" si="698"/>
        <v>0.5</v>
      </c>
      <c r="Z4349" s="2" t="s">
        <v>118</v>
      </c>
      <c r="AA4349" s="2" t="s">
        <v>191</v>
      </c>
      <c r="AB4349" s="2" t="s">
        <v>191</v>
      </c>
      <c r="AC4349" s="2" t="s">
        <v>40</v>
      </c>
      <c r="AK4349" s="2">
        <f t="shared" si="694"/>
        <v>110</v>
      </c>
      <c r="AL4349" s="5">
        <f t="shared" si="695"/>
        <v>0.5</v>
      </c>
    </row>
    <row r="4350" spans="1:38" hidden="1" x14ac:dyDescent="0.2">
      <c r="A4350" s="2">
        <v>2026</v>
      </c>
      <c r="B4350" s="2">
        <v>7</v>
      </c>
      <c r="D4350" s="15" t="s">
        <v>2023</v>
      </c>
      <c r="M4350" s="2" t="s">
        <v>40</v>
      </c>
      <c r="P4350" s="2" t="s">
        <v>188</v>
      </c>
      <c r="Q4350" s="16" t="s">
        <v>189</v>
      </c>
      <c r="R4350" s="15" t="s">
        <v>190</v>
      </c>
      <c r="S4350" s="13">
        <v>1</v>
      </c>
      <c r="T4350" s="14">
        <v>75</v>
      </c>
      <c r="U4350" s="2">
        <f t="shared" si="696"/>
        <v>17.25</v>
      </c>
      <c r="V4350" s="2">
        <f t="shared" si="697"/>
        <v>92.25</v>
      </c>
      <c r="W4350" s="2">
        <f>T4350*40%</f>
        <v>30</v>
      </c>
      <c r="X4350" s="5">
        <f t="shared" si="698"/>
        <v>0.6</v>
      </c>
      <c r="Z4350" s="2" t="s">
        <v>118</v>
      </c>
      <c r="AA4350" s="2" t="s">
        <v>191</v>
      </c>
      <c r="AB4350" s="2" t="s">
        <v>190</v>
      </c>
      <c r="AC4350" s="2" t="s">
        <v>40</v>
      </c>
      <c r="AK4350" s="2">
        <f t="shared" si="694"/>
        <v>45</v>
      </c>
      <c r="AL4350" s="5">
        <f t="shared" si="695"/>
        <v>0.6</v>
      </c>
    </row>
    <row r="4351" spans="1:38" hidden="1" x14ac:dyDescent="0.2">
      <c r="A4351" s="2">
        <v>2026</v>
      </c>
      <c r="B4351" s="2">
        <v>7</v>
      </c>
      <c r="D4351" s="15" t="s">
        <v>2023</v>
      </c>
      <c r="M4351" s="2" t="s">
        <v>40</v>
      </c>
      <c r="P4351" s="2" t="s">
        <v>188</v>
      </c>
      <c r="Q4351" s="16" t="s">
        <v>192</v>
      </c>
      <c r="R4351" s="15" t="s">
        <v>191</v>
      </c>
      <c r="S4351" s="13">
        <v>1.75</v>
      </c>
      <c r="T4351" s="14">
        <v>96.25</v>
      </c>
      <c r="U4351" s="2">
        <f t="shared" si="696"/>
        <v>22.137499999999999</v>
      </c>
      <c r="V4351" s="2">
        <f t="shared" si="697"/>
        <v>118.3875</v>
      </c>
      <c r="W4351" s="2">
        <f>T4351*50%</f>
        <v>48.125</v>
      </c>
      <c r="X4351" s="5">
        <f t="shared" si="698"/>
        <v>0.5</v>
      </c>
      <c r="Z4351" s="2" t="s">
        <v>118</v>
      </c>
      <c r="AA4351" s="2" t="s">
        <v>191</v>
      </c>
      <c r="AB4351" s="2" t="s">
        <v>191</v>
      </c>
      <c r="AC4351" s="2" t="s">
        <v>40</v>
      </c>
      <c r="AK4351" s="2">
        <f t="shared" si="694"/>
        <v>48.125</v>
      </c>
      <c r="AL4351" s="5">
        <f t="shared" si="695"/>
        <v>0.5</v>
      </c>
    </row>
    <row r="4352" spans="1:38" hidden="1" x14ac:dyDescent="0.2">
      <c r="A4352" s="2">
        <v>2026</v>
      </c>
      <c r="B4352" s="2">
        <v>7</v>
      </c>
      <c r="D4352" s="15" t="s">
        <v>2023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297.5</v>
      </c>
      <c r="U4352" s="2">
        <f t="shared" si="696"/>
        <v>68.424999999999997</v>
      </c>
      <c r="V4352" s="2">
        <f t="shared" si="697"/>
        <v>365.92500000000001</v>
      </c>
      <c r="X4352" s="5">
        <f t="shared" si="698"/>
        <v>1</v>
      </c>
      <c r="Z4352" s="2" t="s">
        <v>120</v>
      </c>
      <c r="AA4352" s="2" t="s">
        <v>3388</v>
      </c>
      <c r="AK4352" s="2">
        <f t="shared" si="694"/>
        <v>297.5</v>
      </c>
      <c r="AL4352" s="5">
        <f t="shared" si="695"/>
        <v>1</v>
      </c>
    </row>
    <row r="4353" spans="1:38" hidden="1" x14ac:dyDescent="0.2">
      <c r="A4353" s="2">
        <v>2026</v>
      </c>
      <c r="B4353" s="2">
        <v>7</v>
      </c>
      <c r="D4353" s="15" t="s">
        <v>3343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500</v>
      </c>
      <c r="U4353" s="2">
        <f t="shared" si="696"/>
        <v>115</v>
      </c>
      <c r="V4353" s="2">
        <f t="shared" si="697"/>
        <v>615</v>
      </c>
      <c r="X4353" s="5">
        <f t="shared" si="698"/>
        <v>1</v>
      </c>
      <c r="Z4353" s="2" t="s">
        <v>120</v>
      </c>
      <c r="AA4353" s="2" t="s">
        <v>3388</v>
      </c>
      <c r="AK4353" s="2">
        <f t="shared" si="694"/>
        <v>500</v>
      </c>
      <c r="AL4353" s="5">
        <f t="shared" si="695"/>
        <v>1</v>
      </c>
    </row>
    <row r="4354" spans="1:38" hidden="1" x14ac:dyDescent="0.2">
      <c r="A4354" s="2">
        <v>2026</v>
      </c>
      <c r="B4354" s="2">
        <v>7</v>
      </c>
      <c r="C4354" s="2" t="s">
        <v>3301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400</v>
      </c>
      <c r="R4354" s="15" t="s">
        <v>401</v>
      </c>
      <c r="S4354" s="13">
        <v>2</v>
      </c>
      <c r="T4354" s="14">
        <v>58</v>
      </c>
      <c r="U4354" s="2">
        <f t="shared" si="696"/>
        <v>13.34</v>
      </c>
      <c r="V4354" s="2">
        <f t="shared" si="697"/>
        <v>71.34</v>
      </c>
      <c r="W4354" s="2">
        <f t="shared" ref="W4354:W4355" si="699">14.5099*S4354</f>
        <v>29.0198</v>
      </c>
      <c r="X4354" s="5">
        <f t="shared" si="698"/>
        <v>0.49965862068965516</v>
      </c>
      <c r="Z4354" s="2" t="s">
        <v>3233</v>
      </c>
      <c r="AA4354" s="2" t="s">
        <v>46</v>
      </c>
      <c r="AB4354" s="2" t="s">
        <v>61</v>
      </c>
      <c r="AC4354" s="2" t="s">
        <v>3339</v>
      </c>
      <c r="AK4354" s="2">
        <f t="shared" si="694"/>
        <v>28.9802</v>
      </c>
      <c r="AL4354" s="5">
        <f t="shared" si="695"/>
        <v>0.49965862068965516</v>
      </c>
    </row>
    <row r="4355" spans="1:38" hidden="1" x14ac:dyDescent="0.2">
      <c r="A4355" s="2">
        <v>2026</v>
      </c>
      <c r="B4355" s="2">
        <v>7</v>
      </c>
      <c r="C4355" s="2" t="s">
        <v>3301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81</v>
      </c>
      <c r="P4355" s="2" t="s">
        <v>283</v>
      </c>
      <c r="Q4355" s="16" t="s">
        <v>402</v>
      </c>
      <c r="R4355" s="15" t="s">
        <v>403</v>
      </c>
      <c r="S4355" s="13">
        <v>4</v>
      </c>
      <c r="T4355" s="14">
        <v>96</v>
      </c>
      <c r="U4355" s="2">
        <f t="shared" si="696"/>
        <v>22.080000000000002</v>
      </c>
      <c r="V4355" s="2">
        <f t="shared" si="697"/>
        <v>118.08</v>
      </c>
      <c r="W4355" s="2">
        <f t="shared" si="699"/>
        <v>58.0396</v>
      </c>
      <c r="X4355" s="5">
        <f t="shared" si="698"/>
        <v>0.39542083333333333</v>
      </c>
      <c r="Z4355" s="2" t="s">
        <v>3233</v>
      </c>
      <c r="AA4355" s="2" t="s">
        <v>46</v>
      </c>
      <c r="AB4355" s="2" t="s">
        <v>61</v>
      </c>
      <c r="AC4355" s="2" t="s">
        <v>3339</v>
      </c>
      <c r="AK4355" s="2">
        <f t="shared" si="694"/>
        <v>37.9604</v>
      </c>
      <c r="AL4355" s="5">
        <f t="shared" si="695"/>
        <v>0.39542083333333333</v>
      </c>
    </row>
    <row r="4356" spans="1:38" hidden="1" x14ac:dyDescent="0.2">
      <c r="A4356" s="2">
        <v>2026</v>
      </c>
      <c r="B4356" s="2">
        <v>7</v>
      </c>
      <c r="C4356" s="2" t="s">
        <v>3302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189</v>
      </c>
      <c r="R4356" s="15" t="s">
        <v>190</v>
      </c>
      <c r="S4356" s="13">
        <v>1</v>
      </c>
      <c r="T4356" s="14">
        <v>177</v>
      </c>
      <c r="U4356" s="2">
        <f t="shared" si="696"/>
        <v>40.71</v>
      </c>
      <c r="V4356" s="2">
        <f t="shared" si="697"/>
        <v>217.71</v>
      </c>
      <c r="W4356" s="2">
        <f>T4356*40%</f>
        <v>70.8</v>
      </c>
      <c r="X4356" s="5">
        <f t="shared" si="698"/>
        <v>0.6</v>
      </c>
      <c r="Z4356" s="2" t="s">
        <v>118</v>
      </c>
      <c r="AA4356" s="2" t="s">
        <v>191</v>
      </c>
      <c r="AB4356" s="2" t="s">
        <v>190</v>
      </c>
      <c r="AC4356" s="2" t="s">
        <v>40</v>
      </c>
      <c r="AK4356" s="2">
        <f t="shared" si="694"/>
        <v>106.2</v>
      </c>
      <c r="AL4356" s="5">
        <f t="shared" si="695"/>
        <v>0.6</v>
      </c>
    </row>
    <row r="4357" spans="1:38" hidden="1" x14ac:dyDescent="0.2">
      <c r="A4357" s="2">
        <v>2026</v>
      </c>
      <c r="B4357" s="2">
        <v>7</v>
      </c>
      <c r="C4357" s="2" t="s">
        <v>3302</v>
      </c>
      <c r="D4357" s="15" t="s">
        <v>459</v>
      </c>
      <c r="E4357" s="2" t="s">
        <v>109</v>
      </c>
      <c r="F4357" s="2" t="s">
        <v>39</v>
      </c>
      <c r="L4357" s="2" t="s">
        <v>462</v>
      </c>
      <c r="M4357" s="2" t="s">
        <v>40</v>
      </c>
      <c r="P4357" s="2" t="s">
        <v>188</v>
      </c>
      <c r="Q4357" s="16" t="s">
        <v>192</v>
      </c>
      <c r="R4357" s="15" t="s">
        <v>191</v>
      </c>
      <c r="S4357" s="13">
        <v>1</v>
      </c>
      <c r="T4357" s="14">
        <v>55</v>
      </c>
      <c r="U4357" s="2">
        <f t="shared" si="696"/>
        <v>12.65</v>
      </c>
      <c r="V4357" s="2">
        <f t="shared" si="697"/>
        <v>67.650000000000006</v>
      </c>
      <c r="W4357" s="2">
        <f>T4357*50%</f>
        <v>27.5</v>
      </c>
      <c r="X4357" s="5">
        <f t="shared" si="698"/>
        <v>0.5</v>
      </c>
      <c r="Z4357" s="2" t="s">
        <v>118</v>
      </c>
      <c r="AA4357" s="2" t="s">
        <v>191</v>
      </c>
      <c r="AB4357" s="2" t="s">
        <v>191</v>
      </c>
      <c r="AC4357" s="2" t="s">
        <v>40</v>
      </c>
      <c r="AK4357" s="2">
        <f t="shared" si="694"/>
        <v>27.5</v>
      </c>
      <c r="AL4357" s="5">
        <f t="shared" si="695"/>
        <v>0.5</v>
      </c>
    </row>
    <row r="4358" spans="1:38" hidden="1" x14ac:dyDescent="0.2">
      <c r="A4358" s="2">
        <v>2026</v>
      </c>
      <c r="B4358" s="2">
        <v>7</v>
      </c>
      <c r="C4358" s="2" t="s">
        <v>3302</v>
      </c>
      <c r="D4358" s="15" t="s">
        <v>1578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2653</v>
      </c>
      <c r="R4358" s="15" t="s">
        <v>2654</v>
      </c>
      <c r="S4358" s="13">
        <v>1</v>
      </c>
      <c r="T4358" s="14">
        <v>0</v>
      </c>
      <c r="U4358" s="2">
        <f t="shared" si="696"/>
        <v>0</v>
      </c>
      <c r="V4358" s="2">
        <f t="shared" si="697"/>
        <v>0</v>
      </c>
      <c r="W4358" s="2">
        <v>0</v>
      </c>
      <c r="X4358" s="5">
        <v>0</v>
      </c>
      <c r="Z4358" s="2" t="s">
        <v>105</v>
      </c>
      <c r="AA4358" s="2" t="s">
        <v>1579</v>
      </c>
      <c r="AB4358" s="2" t="s">
        <v>389</v>
      </c>
      <c r="AC4358" s="2" t="s">
        <v>1330</v>
      </c>
      <c r="AK4358" s="2">
        <f t="shared" si="694"/>
        <v>0</v>
      </c>
      <c r="AL4358" s="5">
        <v>0</v>
      </c>
    </row>
    <row r="4359" spans="1:38" hidden="1" x14ac:dyDescent="0.2">
      <c r="A4359" s="2">
        <v>2026</v>
      </c>
      <c r="B4359" s="2">
        <v>7</v>
      </c>
      <c r="C4359" s="2" t="s">
        <v>3302</v>
      </c>
      <c r="D4359" s="15" t="s">
        <v>1578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2657</v>
      </c>
      <c r="R4359" s="15" t="s">
        <v>2658</v>
      </c>
      <c r="S4359" s="13">
        <v>1</v>
      </c>
      <c r="T4359" s="14">
        <v>0</v>
      </c>
      <c r="U4359" s="2">
        <f t="shared" si="696"/>
        <v>0</v>
      </c>
      <c r="V4359" s="2">
        <f t="shared" si="697"/>
        <v>0</v>
      </c>
      <c r="W4359" s="2">
        <v>0</v>
      </c>
      <c r="X4359" s="5">
        <v>0</v>
      </c>
      <c r="Z4359" s="2" t="s">
        <v>105</v>
      </c>
      <c r="AA4359" s="2" t="s">
        <v>1579</v>
      </c>
      <c r="AB4359" s="2" t="s">
        <v>389</v>
      </c>
      <c r="AC4359" s="2" t="s">
        <v>1330</v>
      </c>
      <c r="AK4359" s="2">
        <f t="shared" si="694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C4360" s="2" t="s">
        <v>3302</v>
      </c>
      <c r="D4360" s="15" t="s">
        <v>1578</v>
      </c>
      <c r="E4360" s="2" t="s">
        <v>753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3359</v>
      </c>
      <c r="R4360" s="15" t="s">
        <v>3360</v>
      </c>
      <c r="S4360" s="13">
        <v>1</v>
      </c>
      <c r="T4360" s="14">
        <v>12000</v>
      </c>
      <c r="U4360" s="2">
        <f t="shared" si="696"/>
        <v>2760</v>
      </c>
      <c r="V4360" s="2">
        <f t="shared" si="697"/>
        <v>14760</v>
      </c>
      <c r="W4360" s="2">
        <f>10440+150</f>
        <v>10590</v>
      </c>
      <c r="X4360" s="5">
        <f t="shared" si="698"/>
        <v>0.11749999999999999</v>
      </c>
      <c r="Z4360" s="2" t="s">
        <v>105</v>
      </c>
      <c r="AA4360" s="2" t="s">
        <v>1579</v>
      </c>
      <c r="AB4360" s="2" t="s">
        <v>389</v>
      </c>
      <c r="AC4360" s="2" t="s">
        <v>1330</v>
      </c>
      <c r="AK4360" s="2">
        <f t="shared" si="694"/>
        <v>1410</v>
      </c>
      <c r="AL4360" s="5">
        <f t="shared" si="695"/>
        <v>0.11749999999999999</v>
      </c>
    </row>
    <row r="4361" spans="1:38" hidden="1" x14ac:dyDescent="0.2">
      <c r="A4361" s="2">
        <v>2026</v>
      </c>
      <c r="B4361" s="2">
        <v>7</v>
      </c>
      <c r="D4361" s="15" t="s">
        <v>3344</v>
      </c>
      <c r="P4361" s="2" t="s">
        <v>73</v>
      </c>
      <c r="Q4361" s="16" t="s">
        <v>74</v>
      </c>
      <c r="R4361" s="15" t="s">
        <v>75</v>
      </c>
      <c r="S4361" s="13">
        <v>1</v>
      </c>
      <c r="T4361" s="14">
        <v>190</v>
      </c>
      <c r="U4361" s="2">
        <f t="shared" si="696"/>
        <v>43.7</v>
      </c>
      <c r="V4361" s="2">
        <f t="shared" si="697"/>
        <v>233.7</v>
      </c>
      <c r="W4361" s="2">
        <v>125.51600000000001</v>
      </c>
      <c r="X4361" s="5">
        <f t="shared" si="698"/>
        <v>0.33938947368421052</v>
      </c>
      <c r="Z4361" s="2" t="s">
        <v>3233</v>
      </c>
      <c r="AA4361" s="2" t="s">
        <v>76</v>
      </c>
      <c r="AB4361" s="2" t="s">
        <v>77</v>
      </c>
      <c r="AC4361" s="2" t="s">
        <v>78</v>
      </c>
      <c r="AK4361" s="2">
        <f t="shared" si="694"/>
        <v>64.483999999999995</v>
      </c>
      <c r="AL4361" s="5">
        <f t="shared" si="695"/>
        <v>0.33938947368421052</v>
      </c>
    </row>
    <row r="4362" spans="1:38" hidden="1" x14ac:dyDescent="0.2">
      <c r="A4362" s="2">
        <v>2026</v>
      </c>
      <c r="B4362" s="2">
        <v>7</v>
      </c>
      <c r="D4362" s="15" t="s">
        <v>3344</v>
      </c>
      <c r="P4362" s="2" t="s">
        <v>188</v>
      </c>
      <c r="Q4362" s="16" t="s">
        <v>1311</v>
      </c>
      <c r="R4362" s="15" t="s">
        <v>1312</v>
      </c>
      <c r="S4362" s="13">
        <v>1</v>
      </c>
      <c r="T4362" s="14">
        <v>0</v>
      </c>
      <c r="U4362" s="2">
        <f t="shared" si="696"/>
        <v>0</v>
      </c>
      <c r="V4362" s="2">
        <f t="shared" si="697"/>
        <v>0</v>
      </c>
      <c r="W4362" s="2">
        <v>0</v>
      </c>
      <c r="X4362" s="5">
        <v>0</v>
      </c>
      <c r="Z4362" s="2" t="s">
        <v>118</v>
      </c>
      <c r="AA4362" s="2" t="s">
        <v>1313</v>
      </c>
      <c r="AK4362" s="2">
        <f t="shared" si="694"/>
        <v>0</v>
      </c>
      <c r="AL4362" s="5">
        <v>0</v>
      </c>
    </row>
    <row r="4363" spans="1:38" hidden="1" x14ac:dyDescent="0.2">
      <c r="A4363" s="2">
        <v>2026</v>
      </c>
      <c r="B4363" s="2">
        <v>7</v>
      </c>
      <c r="D4363" s="15" t="s">
        <v>3344</v>
      </c>
      <c r="P4363" s="2" t="s">
        <v>94</v>
      </c>
      <c r="Q4363" s="16" t="s">
        <v>95</v>
      </c>
      <c r="R4363" s="15" t="s">
        <v>96</v>
      </c>
      <c r="S4363" s="13">
        <v>1</v>
      </c>
      <c r="T4363" s="14">
        <v>1.48</v>
      </c>
      <c r="U4363" s="2">
        <f t="shared" si="696"/>
        <v>0.34040000000000004</v>
      </c>
      <c r="V4363" s="2">
        <f t="shared" si="697"/>
        <v>1.8204</v>
      </c>
      <c r="W4363" s="2">
        <v>1.48</v>
      </c>
      <c r="X4363" s="5">
        <f t="shared" si="698"/>
        <v>0</v>
      </c>
      <c r="Z4363" s="2" t="s">
        <v>3233</v>
      </c>
      <c r="AA4363" s="2" t="s">
        <v>97</v>
      </c>
      <c r="AB4363" s="2" t="s">
        <v>77</v>
      </c>
      <c r="AC4363" s="2" t="s">
        <v>94</v>
      </c>
      <c r="AK4363" s="2">
        <f t="shared" si="694"/>
        <v>0</v>
      </c>
      <c r="AL4363" s="5">
        <f t="shared" si="695"/>
        <v>0</v>
      </c>
    </row>
    <row r="4364" spans="1:38" hidden="1" x14ac:dyDescent="0.2">
      <c r="A4364" s="2">
        <v>2026</v>
      </c>
      <c r="B4364" s="2">
        <v>7</v>
      </c>
      <c r="D4364" s="15" t="s">
        <v>463</v>
      </c>
      <c r="M4364" s="2" t="s">
        <v>40</v>
      </c>
      <c r="P4364" s="2" t="s">
        <v>115</v>
      </c>
      <c r="Q4364" s="16" t="s">
        <v>780</v>
      </c>
      <c r="R4364" s="15" t="s">
        <v>781</v>
      </c>
      <c r="S4364" s="13">
        <v>1</v>
      </c>
      <c r="T4364" s="14">
        <v>78.59</v>
      </c>
      <c r="U4364" s="2">
        <f t="shared" si="696"/>
        <v>18.075700000000001</v>
      </c>
      <c r="V4364" s="2">
        <f t="shared" si="697"/>
        <v>96.665700000000001</v>
      </c>
      <c r="W4364" s="2">
        <f>36.2258</f>
        <v>36.2258</v>
      </c>
      <c r="X4364" s="5">
        <f t="shared" si="698"/>
        <v>0.53905331467107775</v>
      </c>
      <c r="Z4364" s="2" t="s">
        <v>118</v>
      </c>
      <c r="AA4364" s="2" t="s">
        <v>119</v>
      </c>
      <c r="AB4364" s="2" t="s">
        <v>120</v>
      </c>
      <c r="AC4364" s="2" t="s">
        <v>115</v>
      </c>
      <c r="AK4364" s="2">
        <f t="shared" si="694"/>
        <v>42.364200000000004</v>
      </c>
      <c r="AL4364" s="5">
        <f t="shared" si="695"/>
        <v>0.53905331467107775</v>
      </c>
    </row>
    <row r="4365" spans="1:38" hidden="1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170</v>
      </c>
      <c r="Q4365" s="16" t="s">
        <v>171</v>
      </c>
      <c r="R4365" s="15" t="s">
        <v>171</v>
      </c>
      <c r="S4365" s="13">
        <v>1</v>
      </c>
      <c r="T4365" s="14">
        <v>7</v>
      </c>
      <c r="U4365" s="2">
        <f t="shared" si="696"/>
        <v>1.61</v>
      </c>
      <c r="V4365" s="2">
        <f t="shared" si="697"/>
        <v>8.61</v>
      </c>
      <c r="X4365" s="5">
        <f t="shared" si="698"/>
        <v>1</v>
      </c>
      <c r="Z4365" s="2" t="s">
        <v>170</v>
      </c>
      <c r="AA4365" s="2" t="s">
        <v>170</v>
      </c>
      <c r="AK4365" s="2">
        <f t="shared" si="694"/>
        <v>7</v>
      </c>
      <c r="AL4365" s="5">
        <f t="shared" si="695"/>
        <v>1</v>
      </c>
    </row>
    <row r="4366" spans="1:38" hidden="1" x14ac:dyDescent="0.2">
      <c r="A4366" s="2">
        <v>2026</v>
      </c>
      <c r="B4366" s="2">
        <v>7</v>
      </c>
      <c r="D4366" s="15" t="s">
        <v>3423</v>
      </c>
      <c r="E4366" s="2" t="s">
        <v>109</v>
      </c>
      <c r="F4366" s="2" t="s">
        <v>39</v>
      </c>
      <c r="L4366" s="2" t="s">
        <v>134</v>
      </c>
      <c r="M4366" s="2" t="s">
        <v>110</v>
      </c>
      <c r="P4366" s="2" t="s">
        <v>115</v>
      </c>
      <c r="Q4366" s="16" t="s">
        <v>710</v>
      </c>
      <c r="R4366" s="15" t="s">
        <v>711</v>
      </c>
      <c r="S4366" s="13">
        <v>1</v>
      </c>
      <c r="T4366" s="14">
        <v>1600</v>
      </c>
      <c r="U4366" s="2">
        <f t="shared" si="696"/>
        <v>368</v>
      </c>
      <c r="V4366" s="2">
        <f t="shared" si="697"/>
        <v>1968</v>
      </c>
      <c r="W4366" s="2">
        <v>1244.2445</v>
      </c>
      <c r="X4366" s="5">
        <f t="shared" si="698"/>
        <v>0.22234718749999999</v>
      </c>
      <c r="Z4366" s="2" t="s">
        <v>105</v>
      </c>
      <c r="AA4366" s="2" t="s">
        <v>579</v>
      </c>
      <c r="AB4366" s="2" t="s">
        <v>702</v>
      </c>
      <c r="AC4366" s="2" t="s">
        <v>115</v>
      </c>
      <c r="AK4366" s="2">
        <f t="shared" si="694"/>
        <v>355.75549999999998</v>
      </c>
      <c r="AL4366" s="5">
        <f t="shared" si="695"/>
        <v>0.22234718749999999</v>
      </c>
    </row>
    <row r="4367" spans="1:38" hidden="1" x14ac:dyDescent="0.2">
      <c r="A4367" s="2">
        <v>2026</v>
      </c>
      <c r="B4367" s="2">
        <v>7</v>
      </c>
      <c r="D4367" s="15" t="s">
        <v>3423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839</v>
      </c>
      <c r="R4367" s="15" t="s">
        <v>840</v>
      </c>
      <c r="S4367" s="13">
        <v>1</v>
      </c>
      <c r="T4367" s="14">
        <v>4400</v>
      </c>
      <c r="U4367" s="2">
        <f t="shared" si="696"/>
        <v>1012</v>
      </c>
      <c r="V4367" s="2">
        <f t="shared" si="697"/>
        <v>5412</v>
      </c>
      <c r="W4367" s="2">
        <f>3229.76+112.87</f>
        <v>3342.63</v>
      </c>
      <c r="X4367" s="5">
        <f t="shared" si="698"/>
        <v>0.2403113636363636</v>
      </c>
      <c r="Z4367" s="2" t="s">
        <v>105</v>
      </c>
      <c r="AA4367" s="2" t="s">
        <v>151</v>
      </c>
      <c r="AB4367" s="2" t="s">
        <v>152</v>
      </c>
      <c r="AC4367" s="2" t="s">
        <v>115</v>
      </c>
      <c r="AK4367" s="2">
        <f t="shared" ref="AK4367:AK4430" si="700">T4367-W4367</f>
        <v>1057.3699999999999</v>
      </c>
      <c r="AL4367" s="5">
        <f t="shared" ref="AL4367:AL4430" si="701">(T4367-W4367)/T4367</f>
        <v>0.2403113636363636</v>
      </c>
    </row>
    <row r="4368" spans="1:38" hidden="1" x14ac:dyDescent="0.2">
      <c r="A4368" s="2">
        <v>2026</v>
      </c>
      <c r="B4368" s="2">
        <v>7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115</v>
      </c>
      <c r="Q4368" s="16" t="s">
        <v>1377</v>
      </c>
      <c r="R4368" s="15" t="s">
        <v>1378</v>
      </c>
      <c r="S4368" s="13">
        <v>1</v>
      </c>
      <c r="T4368" s="14">
        <v>58.74</v>
      </c>
      <c r="U4368" s="2">
        <f t="shared" ref="U4368:U4431" si="702">T4368*23%</f>
        <v>13.510200000000001</v>
      </c>
      <c r="V4368" s="2">
        <f t="shared" ref="V4368:V4431" si="703">T4368+U4368</f>
        <v>72.250200000000007</v>
      </c>
      <c r="W4368" s="2">
        <v>27.86</v>
      </c>
      <c r="X4368" s="5">
        <f t="shared" si="698"/>
        <v>0.52570650323459311</v>
      </c>
      <c r="Z4368" s="2" t="s">
        <v>118</v>
      </c>
      <c r="AA4368" s="2" t="s">
        <v>119</v>
      </c>
      <c r="AB4368" s="2" t="s">
        <v>120</v>
      </c>
      <c r="AC4368" s="2" t="s">
        <v>115</v>
      </c>
      <c r="AK4368" s="2">
        <f t="shared" si="700"/>
        <v>30.880000000000003</v>
      </c>
      <c r="AL4368" s="5">
        <f t="shared" si="701"/>
        <v>0.52570650323459311</v>
      </c>
    </row>
    <row r="4369" spans="1:38" hidden="1" x14ac:dyDescent="0.2">
      <c r="A4369" s="2">
        <v>2026</v>
      </c>
      <c r="B4369" s="2">
        <v>7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188</v>
      </c>
      <c r="Q4369" s="16" t="s">
        <v>189</v>
      </c>
      <c r="R4369" s="15" t="s">
        <v>190</v>
      </c>
      <c r="S4369" s="13">
        <v>1</v>
      </c>
      <c r="T4369" s="14">
        <v>55</v>
      </c>
      <c r="U4369" s="2">
        <f t="shared" si="702"/>
        <v>12.65</v>
      </c>
      <c r="V4369" s="2">
        <f t="shared" si="703"/>
        <v>67.650000000000006</v>
      </c>
      <c r="W4369" s="2">
        <f>T4369*40%</f>
        <v>22</v>
      </c>
      <c r="X4369" s="5">
        <f t="shared" si="698"/>
        <v>0.6</v>
      </c>
      <c r="Z4369" s="2" t="s">
        <v>118</v>
      </c>
      <c r="AA4369" s="2" t="s">
        <v>191</v>
      </c>
      <c r="AB4369" s="2" t="s">
        <v>190</v>
      </c>
      <c r="AC4369" s="2" t="s">
        <v>40</v>
      </c>
      <c r="AK4369" s="2">
        <f t="shared" si="700"/>
        <v>33</v>
      </c>
      <c r="AL4369" s="5">
        <f t="shared" si="701"/>
        <v>0.6</v>
      </c>
    </row>
    <row r="4370" spans="1:38" hidden="1" x14ac:dyDescent="0.2">
      <c r="A4370" s="2">
        <v>2026</v>
      </c>
      <c r="B4370" s="2">
        <v>7</v>
      </c>
      <c r="D4370" s="15" t="s">
        <v>841</v>
      </c>
      <c r="E4370" s="2" t="s">
        <v>109</v>
      </c>
      <c r="F4370" s="2" t="s">
        <v>842</v>
      </c>
      <c r="G4370" s="2">
        <v>504981285</v>
      </c>
      <c r="H4370" s="2" t="s">
        <v>291</v>
      </c>
      <c r="I4370" s="2" t="s">
        <v>843</v>
      </c>
      <c r="J4370" s="2" t="s">
        <v>844</v>
      </c>
      <c r="K4370" s="2">
        <v>932209225</v>
      </c>
      <c r="L4370" s="2" t="s">
        <v>340</v>
      </c>
      <c r="M4370" s="2" t="s">
        <v>40</v>
      </c>
      <c r="P4370" s="2" t="s">
        <v>188</v>
      </c>
      <c r="Q4370" s="16" t="s">
        <v>192</v>
      </c>
      <c r="R4370" s="15" t="s">
        <v>191</v>
      </c>
      <c r="S4370" s="13">
        <v>1.5</v>
      </c>
      <c r="T4370" s="14">
        <v>82.5</v>
      </c>
      <c r="U4370" s="2">
        <f t="shared" si="702"/>
        <v>18.975000000000001</v>
      </c>
      <c r="V4370" s="2">
        <f t="shared" si="703"/>
        <v>101.47499999999999</v>
      </c>
      <c r="W4370" s="2">
        <f>T4370*50%</f>
        <v>41.25</v>
      </c>
      <c r="X4370" s="5">
        <f t="shared" si="698"/>
        <v>0.5</v>
      </c>
      <c r="Z4370" s="2" t="s">
        <v>118</v>
      </c>
      <c r="AA4370" s="2" t="s">
        <v>191</v>
      </c>
      <c r="AB4370" s="2" t="s">
        <v>191</v>
      </c>
      <c r="AC4370" s="2" t="s">
        <v>40</v>
      </c>
      <c r="AK4370" s="2">
        <f t="shared" si="700"/>
        <v>41.25</v>
      </c>
      <c r="AL4370" s="5">
        <f t="shared" si="701"/>
        <v>0.5</v>
      </c>
    </row>
    <row r="4371" spans="1:38" hidden="1" x14ac:dyDescent="0.2">
      <c r="A4371" s="2">
        <v>2026</v>
      </c>
      <c r="B4371" s="2">
        <v>7</v>
      </c>
      <c r="D4371" s="15" t="s">
        <v>841</v>
      </c>
      <c r="E4371" s="2" t="s">
        <v>109</v>
      </c>
      <c r="F4371" s="2" t="s">
        <v>842</v>
      </c>
      <c r="G4371" s="2">
        <v>504981285</v>
      </c>
      <c r="H4371" s="2" t="s">
        <v>291</v>
      </c>
      <c r="I4371" s="2" t="s">
        <v>843</v>
      </c>
      <c r="J4371" s="2" t="s">
        <v>844</v>
      </c>
      <c r="K4371" s="2">
        <v>932209225</v>
      </c>
      <c r="L4371" s="2" t="s">
        <v>340</v>
      </c>
      <c r="M4371" s="2" t="s">
        <v>40</v>
      </c>
      <c r="P4371" s="2" t="s">
        <v>40</v>
      </c>
      <c r="Q4371" s="16" t="s">
        <v>364</v>
      </c>
      <c r="R4371" s="15" t="s">
        <v>365</v>
      </c>
      <c r="S4371" s="13">
        <v>1.7</v>
      </c>
      <c r="T4371" s="14">
        <v>9.34</v>
      </c>
      <c r="U4371" s="2">
        <f t="shared" si="702"/>
        <v>2.1482000000000001</v>
      </c>
      <c r="V4371" s="2">
        <f t="shared" si="703"/>
        <v>11.488199999999999</v>
      </c>
      <c r="X4371" s="5">
        <f t="shared" si="698"/>
        <v>1</v>
      </c>
      <c r="Z4371" s="2" t="s">
        <v>120</v>
      </c>
      <c r="AA4371" s="2" t="s">
        <v>3388</v>
      </c>
      <c r="AK4371" s="2">
        <f t="shared" si="700"/>
        <v>9.34</v>
      </c>
      <c r="AL4371" s="5">
        <f t="shared" si="701"/>
        <v>1</v>
      </c>
    </row>
    <row r="4372" spans="1:38" hidden="1" x14ac:dyDescent="0.2">
      <c r="A4372" s="2">
        <v>2026</v>
      </c>
      <c r="B4372" s="2">
        <v>7</v>
      </c>
      <c r="D4372" s="15" t="s">
        <v>3345</v>
      </c>
      <c r="M4372" s="2" t="s">
        <v>40</v>
      </c>
      <c r="P4372" s="2" t="s">
        <v>115</v>
      </c>
      <c r="Q4372" s="16" t="s">
        <v>180</v>
      </c>
      <c r="R4372" s="15" t="s">
        <v>181</v>
      </c>
      <c r="S4372" s="13">
        <v>1</v>
      </c>
      <c r="T4372" s="14">
        <v>699.3</v>
      </c>
      <c r="U4372" s="2">
        <f t="shared" si="702"/>
        <v>160.839</v>
      </c>
      <c r="V4372" s="2">
        <f t="shared" si="703"/>
        <v>860.1389999999999</v>
      </c>
      <c r="W4372" s="2">
        <v>343.38580000000002</v>
      </c>
      <c r="X4372" s="5">
        <f t="shared" si="698"/>
        <v>0.50895781495781489</v>
      </c>
      <c r="Z4372" s="2" t="s">
        <v>118</v>
      </c>
      <c r="AA4372" s="2" t="s">
        <v>182</v>
      </c>
      <c r="AB4372" s="2" t="s">
        <v>120</v>
      </c>
      <c r="AC4372" s="2" t="s">
        <v>115</v>
      </c>
      <c r="AK4372" s="2">
        <f t="shared" si="700"/>
        <v>355.91419999999994</v>
      </c>
      <c r="AL4372" s="5">
        <f t="shared" si="701"/>
        <v>0.50895781495781489</v>
      </c>
    </row>
    <row r="4373" spans="1:38" hidden="1" x14ac:dyDescent="0.2">
      <c r="A4373" s="2">
        <v>2026</v>
      </c>
      <c r="B4373" s="2">
        <v>7</v>
      </c>
      <c r="D4373" s="15" t="s">
        <v>3345</v>
      </c>
      <c r="M4373" s="2" t="s">
        <v>40</v>
      </c>
      <c r="P4373" s="2" t="s">
        <v>188</v>
      </c>
      <c r="Q4373" s="16" t="s">
        <v>189</v>
      </c>
      <c r="R4373" s="15" t="s">
        <v>190</v>
      </c>
      <c r="S4373" s="13">
        <v>1</v>
      </c>
      <c r="T4373" s="14">
        <v>175</v>
      </c>
      <c r="U4373" s="2">
        <f t="shared" si="702"/>
        <v>40.25</v>
      </c>
      <c r="V4373" s="2">
        <f t="shared" si="703"/>
        <v>215.25</v>
      </c>
      <c r="W4373" s="2">
        <f>T4373*40%</f>
        <v>70</v>
      </c>
      <c r="X4373" s="5">
        <f t="shared" si="698"/>
        <v>0.6</v>
      </c>
      <c r="Z4373" s="2" t="s">
        <v>118</v>
      </c>
      <c r="AA4373" s="2" t="s">
        <v>191</v>
      </c>
      <c r="AB4373" s="2" t="s">
        <v>190</v>
      </c>
      <c r="AC4373" s="2" t="s">
        <v>40</v>
      </c>
      <c r="AK4373" s="2">
        <f t="shared" si="700"/>
        <v>105</v>
      </c>
      <c r="AL4373" s="5">
        <f t="shared" si="701"/>
        <v>0.6</v>
      </c>
    </row>
    <row r="4374" spans="1:38" hidden="1" x14ac:dyDescent="0.2">
      <c r="A4374" s="2">
        <v>2026</v>
      </c>
      <c r="B4374" s="2">
        <v>7</v>
      </c>
      <c r="D4374" s="15" t="s">
        <v>3345</v>
      </c>
      <c r="M4374" s="2" t="s">
        <v>40</v>
      </c>
      <c r="P4374" s="2" t="s">
        <v>188</v>
      </c>
      <c r="Q4374" s="16" t="s">
        <v>192</v>
      </c>
      <c r="R4374" s="15" t="s">
        <v>191</v>
      </c>
      <c r="S4374" s="13">
        <v>1</v>
      </c>
      <c r="T4374" s="14">
        <v>55</v>
      </c>
      <c r="U4374" s="2">
        <f t="shared" si="702"/>
        <v>12.65</v>
      </c>
      <c r="V4374" s="2">
        <f t="shared" si="703"/>
        <v>67.650000000000006</v>
      </c>
      <c r="W4374" s="2">
        <f>T4374*50%</f>
        <v>27.5</v>
      </c>
      <c r="X4374" s="5">
        <f t="shared" si="698"/>
        <v>0.5</v>
      </c>
      <c r="Z4374" s="2" t="s">
        <v>118</v>
      </c>
      <c r="AA4374" s="2" t="s">
        <v>191</v>
      </c>
      <c r="AB4374" s="2" t="s">
        <v>191</v>
      </c>
      <c r="AC4374" s="2" t="s">
        <v>40</v>
      </c>
      <c r="AK4374" s="2">
        <f t="shared" si="700"/>
        <v>27.5</v>
      </c>
      <c r="AL4374" s="5">
        <f t="shared" si="701"/>
        <v>0.5</v>
      </c>
    </row>
    <row r="4375" spans="1:38" hidden="1" x14ac:dyDescent="0.2">
      <c r="A4375" s="2">
        <v>2026</v>
      </c>
      <c r="B4375" s="2">
        <v>7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49</v>
      </c>
      <c r="R4375" s="15" t="s">
        <v>50</v>
      </c>
      <c r="S4375" s="13">
        <v>1</v>
      </c>
      <c r="T4375" s="14">
        <v>13</v>
      </c>
      <c r="U4375" s="2">
        <f t="shared" si="702"/>
        <v>2.99</v>
      </c>
      <c r="V4375" s="2">
        <f t="shared" si="703"/>
        <v>15.99</v>
      </c>
      <c r="W4375" s="2">
        <f>6.6267*S4375</f>
        <v>6.6266999999999996</v>
      </c>
      <c r="X4375" s="5">
        <f t="shared" si="698"/>
        <v>0.49025384615384621</v>
      </c>
      <c r="Z4375" s="2" t="s">
        <v>3233</v>
      </c>
      <c r="AA4375" s="2" t="s">
        <v>46</v>
      </c>
      <c r="AB4375" s="2" t="s">
        <v>47</v>
      </c>
      <c r="AC4375" s="2" t="s">
        <v>48</v>
      </c>
      <c r="AK4375" s="2">
        <f t="shared" si="700"/>
        <v>6.3733000000000004</v>
      </c>
      <c r="AL4375" s="5">
        <f t="shared" si="701"/>
        <v>0.49025384615384621</v>
      </c>
    </row>
    <row r="4376" spans="1:38" hidden="1" x14ac:dyDescent="0.2">
      <c r="A4376" s="2">
        <v>2026</v>
      </c>
      <c r="B4376" s="2">
        <v>7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43</v>
      </c>
      <c r="Q4376" s="16" t="s">
        <v>55</v>
      </c>
      <c r="R4376" s="15" t="s">
        <v>56</v>
      </c>
      <c r="S4376" s="13">
        <v>2</v>
      </c>
      <c r="T4376" s="14">
        <v>36</v>
      </c>
      <c r="U4376" s="2">
        <f t="shared" si="702"/>
        <v>8.2800000000000011</v>
      </c>
      <c r="V4376" s="2">
        <f t="shared" si="703"/>
        <v>44.28</v>
      </c>
      <c r="X4376" s="5">
        <f t="shared" si="698"/>
        <v>1</v>
      </c>
      <c r="Z4376" s="2" t="s">
        <v>3233</v>
      </c>
      <c r="AA4376" s="2" t="s">
        <v>46</v>
      </c>
      <c r="AB4376" s="2" t="s">
        <v>57</v>
      </c>
      <c r="AC4376" s="2" t="s">
        <v>58</v>
      </c>
      <c r="AK4376" s="2">
        <f t="shared" si="700"/>
        <v>36</v>
      </c>
      <c r="AL4376" s="5">
        <f t="shared" si="701"/>
        <v>1</v>
      </c>
    </row>
    <row r="4377" spans="1:38" hidden="1" x14ac:dyDescent="0.2">
      <c r="A4377" s="2">
        <v>2026</v>
      </c>
      <c r="B4377" s="2">
        <v>7</v>
      </c>
      <c r="D4377" s="15" t="s">
        <v>845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846</v>
      </c>
      <c r="L4377" s="2" t="s">
        <v>419</v>
      </c>
      <c r="M4377" s="2" t="s">
        <v>41</v>
      </c>
      <c r="P4377" s="2" t="s">
        <v>43</v>
      </c>
      <c r="Q4377" s="16" t="s">
        <v>59</v>
      </c>
      <c r="R4377" s="15" t="s">
        <v>60</v>
      </c>
      <c r="S4377" s="2">
        <v>100</v>
      </c>
      <c r="T4377" s="14">
        <v>13</v>
      </c>
      <c r="U4377" s="2">
        <f t="shared" si="702"/>
        <v>2.99</v>
      </c>
      <c r="V4377" s="2">
        <f t="shared" si="703"/>
        <v>15.99</v>
      </c>
      <c r="W4377" s="2">
        <f>0.0914*S4377</f>
        <v>9.1399999999999988</v>
      </c>
      <c r="X4377" s="5">
        <f t="shared" si="698"/>
        <v>0.29692307692307701</v>
      </c>
      <c r="Z4377" s="2" t="s">
        <v>3233</v>
      </c>
      <c r="AA4377" s="2" t="s">
        <v>46</v>
      </c>
      <c r="AB4377" s="2" t="s">
        <v>61</v>
      </c>
      <c r="AC4377" s="2" t="s">
        <v>58</v>
      </c>
      <c r="AK4377" s="2">
        <f t="shared" si="700"/>
        <v>3.8600000000000012</v>
      </c>
      <c r="AL4377" s="5">
        <f t="shared" si="701"/>
        <v>0.29692307692307701</v>
      </c>
    </row>
    <row r="4378" spans="1:38" hidden="1" x14ac:dyDescent="0.2">
      <c r="A4378" s="2">
        <v>2026</v>
      </c>
      <c r="B4378" s="2">
        <v>7</v>
      </c>
      <c r="D4378" s="15" t="s">
        <v>845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846</v>
      </c>
      <c r="L4378" s="2" t="s">
        <v>419</v>
      </c>
      <c r="M4378" s="2" t="s">
        <v>41</v>
      </c>
      <c r="P4378" s="2" t="s">
        <v>170</v>
      </c>
      <c r="Q4378" s="16" t="s">
        <v>171</v>
      </c>
      <c r="R4378" s="15" t="s">
        <v>171</v>
      </c>
      <c r="S4378" s="13">
        <v>1</v>
      </c>
      <c r="T4378" s="14">
        <v>8</v>
      </c>
      <c r="U4378" s="2">
        <f t="shared" si="702"/>
        <v>1.84</v>
      </c>
      <c r="V4378" s="2">
        <f t="shared" si="703"/>
        <v>9.84</v>
      </c>
      <c r="X4378" s="5">
        <f t="shared" si="698"/>
        <v>1</v>
      </c>
      <c r="Z4378" s="2" t="s">
        <v>170</v>
      </c>
      <c r="AA4378" s="2" t="s">
        <v>170</v>
      </c>
      <c r="AK4378" s="2">
        <f t="shared" si="700"/>
        <v>8</v>
      </c>
      <c r="AL4378" s="5">
        <f t="shared" si="701"/>
        <v>1</v>
      </c>
    </row>
    <row r="4379" spans="1:38" hidden="1" x14ac:dyDescent="0.2">
      <c r="A4379" s="2">
        <v>2026</v>
      </c>
      <c r="B4379" s="2">
        <v>7</v>
      </c>
      <c r="C4379" s="2" t="s">
        <v>3301</v>
      </c>
      <c r="D4379" s="15" t="s">
        <v>3346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51</v>
      </c>
      <c r="R4379" s="15" t="s">
        <v>52</v>
      </c>
      <c r="S4379" s="13">
        <v>2</v>
      </c>
      <c r="T4379" s="14">
        <v>42</v>
      </c>
      <c r="U4379" s="2">
        <f t="shared" si="702"/>
        <v>9.66</v>
      </c>
      <c r="V4379" s="2">
        <f t="shared" si="703"/>
        <v>51.66</v>
      </c>
      <c r="W4379" s="2">
        <f>14.4*S4379</f>
        <v>28.8</v>
      </c>
      <c r="X4379" s="5">
        <f t="shared" si="698"/>
        <v>0.31428571428571428</v>
      </c>
      <c r="Z4379" s="2" t="s">
        <v>3233</v>
      </c>
      <c r="AA4379" s="2" t="s">
        <v>46</v>
      </c>
      <c r="AB4379" s="2" t="s">
        <v>47</v>
      </c>
      <c r="AC4379" s="2" t="s">
        <v>48</v>
      </c>
      <c r="AK4379" s="2">
        <f t="shared" si="700"/>
        <v>13.2</v>
      </c>
      <c r="AL4379" s="5">
        <f t="shared" si="701"/>
        <v>0.31428571428571428</v>
      </c>
    </row>
    <row r="4380" spans="1:38" hidden="1" x14ac:dyDescent="0.2">
      <c r="A4380" s="2">
        <v>2026</v>
      </c>
      <c r="B4380" s="2">
        <v>7</v>
      </c>
      <c r="C4380" s="2" t="s">
        <v>3301</v>
      </c>
      <c r="D4380" s="15" t="s">
        <v>3346</v>
      </c>
      <c r="E4380" s="2" t="s">
        <v>109</v>
      </c>
      <c r="F4380" s="2" t="s">
        <v>39</v>
      </c>
      <c r="L4380" s="2" t="s">
        <v>100</v>
      </c>
      <c r="M4380" s="2" t="s">
        <v>81</v>
      </c>
      <c r="P4380" s="2" t="s">
        <v>43</v>
      </c>
      <c r="Q4380" s="16" t="s">
        <v>55</v>
      </c>
      <c r="R4380" s="15" t="s">
        <v>56</v>
      </c>
      <c r="S4380" s="13">
        <v>5</v>
      </c>
      <c r="T4380" s="14">
        <v>85</v>
      </c>
      <c r="U4380" s="2">
        <f t="shared" si="702"/>
        <v>19.55</v>
      </c>
      <c r="V4380" s="2">
        <f t="shared" si="703"/>
        <v>104.55</v>
      </c>
      <c r="X4380" s="5">
        <f t="shared" si="698"/>
        <v>1</v>
      </c>
      <c r="Z4380" s="2" t="s">
        <v>3233</v>
      </c>
      <c r="AA4380" s="2" t="s">
        <v>46</v>
      </c>
      <c r="AB4380" s="2" t="s">
        <v>57</v>
      </c>
      <c r="AC4380" s="2" t="s">
        <v>58</v>
      </c>
      <c r="AK4380" s="2">
        <f t="shared" si="700"/>
        <v>85</v>
      </c>
      <c r="AL4380" s="5">
        <f t="shared" si="701"/>
        <v>1</v>
      </c>
    </row>
    <row r="4381" spans="1:38" hidden="1" x14ac:dyDescent="0.2">
      <c r="A4381" s="2">
        <v>2026</v>
      </c>
      <c r="B4381" s="2">
        <v>7</v>
      </c>
      <c r="C4381" s="2" t="s">
        <v>3301</v>
      </c>
      <c r="D4381" s="15" t="s">
        <v>3346</v>
      </c>
      <c r="E4381" s="2" t="s">
        <v>109</v>
      </c>
      <c r="F4381" s="2" t="s">
        <v>39</v>
      </c>
      <c r="L4381" s="2" t="s">
        <v>100</v>
      </c>
      <c r="M4381" s="2" t="s">
        <v>81</v>
      </c>
      <c r="P4381" s="2" t="s">
        <v>43</v>
      </c>
      <c r="Q4381" s="16" t="s">
        <v>62</v>
      </c>
      <c r="R4381" s="15" t="s">
        <v>63</v>
      </c>
      <c r="S4381" s="13">
        <v>400</v>
      </c>
      <c r="T4381" s="14">
        <v>46</v>
      </c>
      <c r="U4381" s="2">
        <f t="shared" si="702"/>
        <v>10.58</v>
      </c>
      <c r="V4381" s="2">
        <f t="shared" si="703"/>
        <v>56.58</v>
      </c>
      <c r="W4381" s="2">
        <f>0.082*S4381</f>
        <v>32.800000000000004</v>
      </c>
      <c r="X4381" s="5">
        <f t="shared" si="698"/>
        <v>0.28695652173913033</v>
      </c>
      <c r="Z4381" s="2" t="s">
        <v>3233</v>
      </c>
      <c r="AA4381" s="2" t="s">
        <v>46</v>
      </c>
      <c r="AB4381" s="2" t="s">
        <v>61</v>
      </c>
      <c r="AC4381" s="2" t="s">
        <v>58</v>
      </c>
      <c r="AK4381" s="2">
        <f t="shared" si="700"/>
        <v>13.199999999999996</v>
      </c>
      <c r="AL4381" s="5">
        <f t="shared" si="701"/>
        <v>0.28695652173913033</v>
      </c>
    </row>
    <row r="4382" spans="1:38" hidden="1" x14ac:dyDescent="0.2">
      <c r="A4382" s="2">
        <v>2026</v>
      </c>
      <c r="B4382" s="2">
        <v>7</v>
      </c>
      <c r="D4382" s="15" t="s">
        <v>489</v>
      </c>
      <c r="E4382" s="2" t="s">
        <v>38</v>
      </c>
      <c r="F4382" s="2" t="s">
        <v>39</v>
      </c>
      <c r="G4382" s="2">
        <v>507380312</v>
      </c>
      <c r="H4382" s="2" t="s">
        <v>40</v>
      </c>
      <c r="I4382" s="2" t="s">
        <v>490</v>
      </c>
      <c r="J4382" s="2" t="s">
        <v>491</v>
      </c>
      <c r="K4382" s="2">
        <v>912293443</v>
      </c>
      <c r="L4382" s="2" t="s">
        <v>100</v>
      </c>
      <c r="M4382" s="2" t="s">
        <v>40</v>
      </c>
      <c r="P4382" s="2" t="s">
        <v>40</v>
      </c>
      <c r="Q4382" s="16" t="s">
        <v>492</v>
      </c>
      <c r="R4382" s="15" t="s">
        <v>493</v>
      </c>
      <c r="S4382" s="13">
        <v>1</v>
      </c>
      <c r="T4382" s="14">
        <v>678.91</v>
      </c>
      <c r="U4382" s="2">
        <f t="shared" si="702"/>
        <v>156.14930000000001</v>
      </c>
      <c r="V4382" s="2">
        <f t="shared" si="703"/>
        <v>835.05930000000001</v>
      </c>
      <c r="X4382" s="5">
        <f t="shared" si="698"/>
        <v>1</v>
      </c>
      <c r="Z4382" s="2" t="s">
        <v>120</v>
      </c>
      <c r="AA4382" s="2" t="s">
        <v>493</v>
      </c>
      <c r="AK4382" s="2">
        <f t="shared" si="700"/>
        <v>678.91</v>
      </c>
      <c r="AL4382" s="5">
        <f t="shared" si="701"/>
        <v>1</v>
      </c>
    </row>
    <row r="4383" spans="1:38" hidden="1" x14ac:dyDescent="0.2">
      <c r="A4383" s="2">
        <v>2026</v>
      </c>
      <c r="B4383" s="2">
        <v>7</v>
      </c>
      <c r="C4383" s="2" t="s">
        <v>3303</v>
      </c>
      <c r="D4383" s="15" t="s">
        <v>3347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115</v>
      </c>
      <c r="Q4383" s="16" t="s">
        <v>180</v>
      </c>
      <c r="R4383" s="15" t="s">
        <v>181</v>
      </c>
      <c r="S4383" s="13">
        <v>1</v>
      </c>
      <c r="T4383" s="14">
        <v>699.3</v>
      </c>
      <c r="U4383" s="2">
        <f t="shared" si="702"/>
        <v>160.839</v>
      </c>
      <c r="V4383" s="2">
        <f t="shared" si="703"/>
        <v>860.1389999999999</v>
      </c>
      <c r="W4383" s="2">
        <v>343.38580000000002</v>
      </c>
      <c r="X4383" s="5">
        <f t="shared" si="698"/>
        <v>0.50895781495781489</v>
      </c>
      <c r="Z4383" s="2" t="s">
        <v>118</v>
      </c>
      <c r="AA4383" s="2" t="s">
        <v>182</v>
      </c>
      <c r="AB4383" s="2" t="s">
        <v>120</v>
      </c>
      <c r="AC4383" s="2" t="s">
        <v>115</v>
      </c>
      <c r="AK4383" s="2">
        <f t="shared" si="700"/>
        <v>355.91419999999994</v>
      </c>
      <c r="AL4383" s="5">
        <f t="shared" si="701"/>
        <v>0.50895781495781489</v>
      </c>
    </row>
    <row r="4384" spans="1:38" hidden="1" x14ac:dyDescent="0.2">
      <c r="A4384" s="2">
        <v>2026</v>
      </c>
      <c r="B4384" s="2">
        <v>7</v>
      </c>
      <c r="C4384" s="2" t="s">
        <v>3303</v>
      </c>
      <c r="D4384" s="15" t="s">
        <v>3347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60</v>
      </c>
      <c r="U4384" s="2">
        <f t="shared" si="702"/>
        <v>13.8</v>
      </c>
      <c r="V4384" s="2">
        <f t="shared" si="703"/>
        <v>73.8</v>
      </c>
      <c r="W4384" s="2">
        <f>T4384*40%</f>
        <v>24</v>
      </c>
      <c r="X4384" s="5">
        <f t="shared" si="698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700"/>
        <v>36</v>
      </c>
      <c r="AL4384" s="5">
        <f t="shared" si="701"/>
        <v>0.6</v>
      </c>
    </row>
    <row r="4385" spans="1:38" hidden="1" x14ac:dyDescent="0.2">
      <c r="A4385" s="2">
        <v>2026</v>
      </c>
      <c r="B4385" s="2">
        <v>7</v>
      </c>
      <c r="C4385" s="2" t="s">
        <v>3303</v>
      </c>
      <c r="D4385" s="15" t="s">
        <v>3347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702"/>
        <v>12.65</v>
      </c>
      <c r="V4385" s="2">
        <f t="shared" si="703"/>
        <v>67.650000000000006</v>
      </c>
      <c r="W4385" s="2">
        <f>T4385*50%</f>
        <v>27.5</v>
      </c>
      <c r="X4385" s="5">
        <f t="shared" si="698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700"/>
        <v>27.5</v>
      </c>
      <c r="AL4385" s="5">
        <f t="shared" si="701"/>
        <v>0.5</v>
      </c>
    </row>
    <row r="4386" spans="1:38" hidden="1" x14ac:dyDescent="0.2">
      <c r="A4386" s="2">
        <v>2026</v>
      </c>
      <c r="B4386" s="2">
        <v>7</v>
      </c>
      <c r="D4386" s="15" t="s">
        <v>2159</v>
      </c>
      <c r="M4386" s="2" t="s">
        <v>40</v>
      </c>
      <c r="P4386" s="2" t="s">
        <v>188</v>
      </c>
      <c r="Q4386" s="16" t="s">
        <v>189</v>
      </c>
      <c r="R4386" s="15" t="s">
        <v>190</v>
      </c>
      <c r="S4386" s="13">
        <v>1</v>
      </c>
      <c r="T4386" s="14">
        <v>403</v>
      </c>
      <c r="U4386" s="2">
        <f t="shared" si="702"/>
        <v>92.69</v>
      </c>
      <c r="V4386" s="2">
        <f t="shared" si="703"/>
        <v>495.69</v>
      </c>
      <c r="W4386" s="2">
        <f>T4386*40%</f>
        <v>161.20000000000002</v>
      </c>
      <c r="X4386" s="5">
        <f t="shared" si="698"/>
        <v>0.6</v>
      </c>
      <c r="Z4386" s="2" t="s">
        <v>118</v>
      </c>
      <c r="AA4386" s="2" t="s">
        <v>191</v>
      </c>
      <c r="AB4386" s="2" t="s">
        <v>190</v>
      </c>
      <c r="AC4386" s="2" t="s">
        <v>40</v>
      </c>
      <c r="AK4386" s="2">
        <f t="shared" si="700"/>
        <v>241.79999999999998</v>
      </c>
      <c r="AL4386" s="5">
        <f t="shared" si="701"/>
        <v>0.6</v>
      </c>
    </row>
    <row r="4387" spans="1:38" hidden="1" x14ac:dyDescent="0.2">
      <c r="A4387" s="2">
        <v>2026</v>
      </c>
      <c r="B4387" s="2">
        <v>7</v>
      </c>
      <c r="D4387" s="15" t="s">
        <v>2159</v>
      </c>
      <c r="M4387" s="2" t="s">
        <v>40</v>
      </c>
      <c r="P4387" s="2" t="s">
        <v>188</v>
      </c>
      <c r="Q4387" s="16" t="s">
        <v>192</v>
      </c>
      <c r="R4387" s="15" t="s">
        <v>191</v>
      </c>
      <c r="S4387" s="13">
        <v>1</v>
      </c>
      <c r="T4387" s="14">
        <v>55</v>
      </c>
      <c r="U4387" s="2">
        <f t="shared" si="702"/>
        <v>12.65</v>
      </c>
      <c r="V4387" s="2">
        <f t="shared" si="703"/>
        <v>67.650000000000006</v>
      </c>
      <c r="W4387" s="2">
        <f>T4387*50%</f>
        <v>27.5</v>
      </c>
      <c r="X4387" s="5">
        <f t="shared" si="698"/>
        <v>0.5</v>
      </c>
      <c r="Z4387" s="2" t="s">
        <v>118</v>
      </c>
      <c r="AA4387" s="2" t="s">
        <v>191</v>
      </c>
      <c r="AB4387" s="2" t="s">
        <v>191</v>
      </c>
      <c r="AC4387" s="2" t="s">
        <v>40</v>
      </c>
      <c r="AK4387" s="2">
        <f t="shared" si="700"/>
        <v>27.5</v>
      </c>
      <c r="AL4387" s="5">
        <f t="shared" si="701"/>
        <v>0.5</v>
      </c>
    </row>
    <row r="4388" spans="1:38" hidden="1" x14ac:dyDescent="0.2">
      <c r="A4388" s="2">
        <v>2026</v>
      </c>
      <c r="B4388" s="2">
        <v>7</v>
      </c>
      <c r="C4388" s="8" t="s">
        <v>3302</v>
      </c>
      <c r="D4388" s="15" t="s">
        <v>3115</v>
      </c>
      <c r="E4388" s="2" t="s">
        <v>38</v>
      </c>
      <c r="F4388" s="2" t="s">
        <v>39</v>
      </c>
      <c r="L4388" s="2" t="s">
        <v>100</v>
      </c>
      <c r="M4388" s="2" t="s">
        <v>40</v>
      </c>
      <c r="P4388" s="2" t="s">
        <v>115</v>
      </c>
      <c r="Q4388" s="16" t="s">
        <v>3361</v>
      </c>
      <c r="R4388" s="15" t="s">
        <v>3362</v>
      </c>
      <c r="S4388" s="13">
        <v>2</v>
      </c>
      <c r="T4388" s="14">
        <v>32.549999999999997</v>
      </c>
      <c r="U4388" s="2">
        <f t="shared" si="702"/>
        <v>7.4864999999999995</v>
      </c>
      <c r="V4388" s="2">
        <f t="shared" si="703"/>
        <v>40.036499999999997</v>
      </c>
      <c r="W4388" s="2">
        <f>(7.38+0.13)*S4388</f>
        <v>15.02</v>
      </c>
      <c r="X4388" s="5">
        <f t="shared" si="698"/>
        <v>0.53855606758832564</v>
      </c>
      <c r="Z4388" s="2" t="s">
        <v>118</v>
      </c>
      <c r="AA4388" s="2" t="s">
        <v>119</v>
      </c>
      <c r="AB4388" s="2" t="s">
        <v>120</v>
      </c>
      <c r="AC4388" s="2" t="s">
        <v>115</v>
      </c>
      <c r="AK4388" s="2">
        <f t="shared" si="700"/>
        <v>17.529999999999998</v>
      </c>
      <c r="AL4388" s="5">
        <f t="shared" si="701"/>
        <v>0.53855606758832564</v>
      </c>
    </row>
    <row r="4389" spans="1:38" hidden="1" x14ac:dyDescent="0.2">
      <c r="A4389" s="2">
        <v>2026</v>
      </c>
      <c r="B4389" s="2">
        <v>7</v>
      </c>
      <c r="C4389" s="2" t="s">
        <v>3303</v>
      </c>
      <c r="D4389" s="15" t="s">
        <v>2910</v>
      </c>
      <c r="F4389" s="2" t="s">
        <v>3453</v>
      </c>
      <c r="L4389" s="2" t="s">
        <v>100</v>
      </c>
      <c r="M4389" s="2" t="s">
        <v>81</v>
      </c>
      <c r="P4389" s="2" t="s">
        <v>283</v>
      </c>
      <c r="Q4389" s="16" t="s">
        <v>400</v>
      </c>
      <c r="R4389" s="15" t="s">
        <v>401</v>
      </c>
      <c r="S4389" s="13">
        <v>1</v>
      </c>
      <c r="T4389" s="14">
        <v>29</v>
      </c>
      <c r="U4389" s="2">
        <f t="shared" si="702"/>
        <v>6.67</v>
      </c>
      <c r="V4389" s="2">
        <f t="shared" si="703"/>
        <v>35.67</v>
      </c>
      <c r="W4389" s="2">
        <f>14.5099*S4389</f>
        <v>14.5099</v>
      </c>
      <c r="X4389" s="5">
        <f t="shared" si="698"/>
        <v>0.49965862068965516</v>
      </c>
      <c r="Z4389" s="2" t="s">
        <v>3233</v>
      </c>
      <c r="AA4389" s="2" t="s">
        <v>46</v>
      </c>
      <c r="AB4389" s="2" t="s">
        <v>61</v>
      </c>
      <c r="AC4389" s="2" t="s">
        <v>3339</v>
      </c>
      <c r="AK4389" s="2">
        <f t="shared" si="700"/>
        <v>14.4901</v>
      </c>
      <c r="AL4389" s="5">
        <f t="shared" si="701"/>
        <v>0.49965862068965516</v>
      </c>
    </row>
    <row r="4390" spans="1:38" hidden="1" x14ac:dyDescent="0.2">
      <c r="A4390" s="2">
        <v>2026</v>
      </c>
      <c r="B4390" s="2">
        <v>7</v>
      </c>
      <c r="D4390" s="15" t="s">
        <v>1075</v>
      </c>
      <c r="P4390" s="2" t="s">
        <v>73</v>
      </c>
      <c r="Q4390" s="16" t="s">
        <v>3363</v>
      </c>
      <c r="R4390" s="15" t="s">
        <v>80</v>
      </c>
      <c r="S4390" s="13">
        <v>1</v>
      </c>
      <c r="T4390" s="14">
        <v>220</v>
      </c>
      <c r="U4390" s="2">
        <f t="shared" si="702"/>
        <v>50.6</v>
      </c>
      <c r="V4390" s="2">
        <f t="shared" si="703"/>
        <v>270.60000000000002</v>
      </c>
      <c r="W4390" s="2">
        <v>125.15</v>
      </c>
      <c r="X4390" s="5">
        <f t="shared" si="698"/>
        <v>0.4311363636363636</v>
      </c>
      <c r="Z4390" s="2" t="s">
        <v>3233</v>
      </c>
      <c r="AA4390" s="2" t="s">
        <v>76</v>
      </c>
      <c r="AB4390" s="2" t="s">
        <v>77</v>
      </c>
      <c r="AC4390" s="2" t="s">
        <v>78</v>
      </c>
      <c r="AK4390" s="2">
        <f t="shared" si="700"/>
        <v>94.85</v>
      </c>
      <c r="AL4390" s="5">
        <f t="shared" si="701"/>
        <v>0.4311363636363636</v>
      </c>
    </row>
    <row r="4391" spans="1:38" hidden="1" x14ac:dyDescent="0.2">
      <c r="A4391" s="2">
        <v>2026</v>
      </c>
      <c r="B4391" s="2">
        <v>7</v>
      </c>
      <c r="D4391" s="15" t="s">
        <v>1075</v>
      </c>
      <c r="P4391" s="2" t="s">
        <v>94</v>
      </c>
      <c r="Q4391" s="16" t="s">
        <v>95</v>
      </c>
      <c r="R4391" s="15" t="s">
        <v>96</v>
      </c>
      <c r="S4391" s="13">
        <v>1</v>
      </c>
      <c r="T4391" s="14">
        <v>1.48</v>
      </c>
      <c r="U4391" s="2">
        <f t="shared" si="702"/>
        <v>0.34040000000000004</v>
      </c>
      <c r="V4391" s="2">
        <f t="shared" si="703"/>
        <v>1.8204</v>
      </c>
      <c r="X4391" s="5">
        <f t="shared" si="698"/>
        <v>1</v>
      </c>
      <c r="Z4391" s="2" t="s">
        <v>3233</v>
      </c>
      <c r="AA4391" s="2" t="s">
        <v>97</v>
      </c>
      <c r="AB4391" s="2" t="s">
        <v>77</v>
      </c>
      <c r="AC4391" s="2" t="s">
        <v>94</v>
      </c>
      <c r="AK4391" s="2">
        <f t="shared" si="700"/>
        <v>1.48</v>
      </c>
      <c r="AL4391" s="5">
        <f t="shared" si="701"/>
        <v>1</v>
      </c>
    </row>
    <row r="4392" spans="1:38" hidden="1" x14ac:dyDescent="0.2">
      <c r="A4392" s="2">
        <v>2026</v>
      </c>
      <c r="B4392" s="2">
        <v>7</v>
      </c>
      <c r="D4392" s="15" t="s">
        <v>3348</v>
      </c>
      <c r="M4392" s="2" t="s">
        <v>40</v>
      </c>
      <c r="P4392" s="2" t="s">
        <v>188</v>
      </c>
      <c r="Q4392" s="16" t="s">
        <v>189</v>
      </c>
      <c r="R4392" s="15" t="s">
        <v>190</v>
      </c>
      <c r="S4392" s="13">
        <v>1</v>
      </c>
      <c r="T4392" s="14">
        <v>296</v>
      </c>
      <c r="U4392" s="2">
        <f t="shared" si="702"/>
        <v>68.08</v>
      </c>
      <c r="V4392" s="2">
        <f t="shared" si="703"/>
        <v>364.08</v>
      </c>
      <c r="W4392" s="2">
        <f>T4392*40%</f>
        <v>118.4</v>
      </c>
      <c r="X4392" s="5">
        <f t="shared" si="698"/>
        <v>0.6</v>
      </c>
      <c r="Z4392" s="2" t="s">
        <v>118</v>
      </c>
      <c r="AA4392" s="2" t="s">
        <v>191</v>
      </c>
      <c r="AB4392" s="2" t="s">
        <v>190</v>
      </c>
      <c r="AC4392" s="2" t="s">
        <v>40</v>
      </c>
      <c r="AK4392" s="2">
        <f t="shared" si="700"/>
        <v>177.6</v>
      </c>
      <c r="AL4392" s="5">
        <f t="shared" si="701"/>
        <v>0.6</v>
      </c>
    </row>
    <row r="4393" spans="1:38" hidden="1" x14ac:dyDescent="0.2">
      <c r="A4393" s="2">
        <v>2026</v>
      </c>
      <c r="B4393" s="2">
        <v>7</v>
      </c>
      <c r="D4393" s="15" t="s">
        <v>3348</v>
      </c>
      <c r="M4393" s="2" t="s">
        <v>40</v>
      </c>
      <c r="P4393" s="2" t="s">
        <v>188</v>
      </c>
      <c r="Q4393" s="16" t="s">
        <v>192</v>
      </c>
      <c r="R4393" s="15" t="s">
        <v>191</v>
      </c>
      <c r="S4393" s="13">
        <v>1</v>
      </c>
      <c r="T4393" s="14">
        <v>55</v>
      </c>
      <c r="U4393" s="2">
        <f t="shared" si="702"/>
        <v>12.65</v>
      </c>
      <c r="V4393" s="2">
        <f t="shared" si="703"/>
        <v>67.650000000000006</v>
      </c>
      <c r="W4393" s="2">
        <f>T4393*50%</f>
        <v>27.5</v>
      </c>
      <c r="X4393" s="5">
        <f t="shared" si="698"/>
        <v>0.5</v>
      </c>
      <c r="Z4393" s="2" t="s">
        <v>118</v>
      </c>
      <c r="AA4393" s="2" t="s">
        <v>191</v>
      </c>
      <c r="AB4393" s="2" t="s">
        <v>191</v>
      </c>
      <c r="AC4393" s="2" t="s">
        <v>40</v>
      </c>
      <c r="AK4393" s="2">
        <f t="shared" si="700"/>
        <v>27.5</v>
      </c>
      <c r="AL4393" s="5">
        <f t="shared" si="701"/>
        <v>0.5</v>
      </c>
    </row>
    <row r="4394" spans="1:38" hidden="1" x14ac:dyDescent="0.2">
      <c r="A4394" s="2">
        <v>2026</v>
      </c>
      <c r="B4394" s="2">
        <v>7</v>
      </c>
      <c r="C4394" s="2" t="s">
        <v>3303</v>
      </c>
      <c r="D4394" s="15" t="s">
        <v>2527</v>
      </c>
      <c r="E4394" s="2" t="s">
        <v>38</v>
      </c>
      <c r="F4394" s="2" t="s">
        <v>39</v>
      </c>
      <c r="L4394" s="2" t="s">
        <v>462</v>
      </c>
      <c r="M4394" s="2" t="s">
        <v>81</v>
      </c>
      <c r="P4394" s="2" t="s">
        <v>73</v>
      </c>
      <c r="Q4394" s="16" t="s">
        <v>74</v>
      </c>
      <c r="R4394" s="15" t="s">
        <v>75</v>
      </c>
      <c r="S4394" s="13">
        <v>1</v>
      </c>
      <c r="T4394" s="14">
        <v>225</v>
      </c>
      <c r="U4394" s="2">
        <f t="shared" si="702"/>
        <v>51.75</v>
      </c>
      <c r="V4394" s="2">
        <f t="shared" si="703"/>
        <v>276.75</v>
      </c>
      <c r="W4394" s="2">
        <v>125.51600000000001</v>
      </c>
      <c r="X4394" s="5">
        <f t="shared" si="698"/>
        <v>0.44215111111111111</v>
      </c>
      <c r="Z4394" s="2" t="s">
        <v>3233</v>
      </c>
      <c r="AA4394" s="2" t="s">
        <v>76</v>
      </c>
      <c r="AB4394" s="2" t="s">
        <v>77</v>
      </c>
      <c r="AC4394" s="2" t="s">
        <v>78</v>
      </c>
      <c r="AK4394" s="2">
        <f t="shared" si="700"/>
        <v>99.483999999999995</v>
      </c>
      <c r="AL4394" s="5">
        <f t="shared" si="701"/>
        <v>0.44215111111111111</v>
      </c>
    </row>
    <row r="4395" spans="1:38" hidden="1" x14ac:dyDescent="0.2">
      <c r="A4395" s="2">
        <v>2026</v>
      </c>
      <c r="B4395" s="2">
        <v>7</v>
      </c>
      <c r="C4395" s="2" t="s">
        <v>3303</v>
      </c>
      <c r="D4395" s="15" t="s">
        <v>2527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702"/>
        <v>0.34040000000000004</v>
      </c>
      <c r="V4395" s="2">
        <f t="shared" si="703"/>
        <v>1.8204</v>
      </c>
      <c r="W4395" s="2">
        <v>1.48</v>
      </c>
      <c r="X4395" s="5">
        <f t="shared" si="698"/>
        <v>0</v>
      </c>
      <c r="Z4395" s="2" t="s">
        <v>3233</v>
      </c>
      <c r="AA4395" s="2" t="s">
        <v>97</v>
      </c>
      <c r="AB4395" s="2" t="s">
        <v>77</v>
      </c>
      <c r="AC4395" s="2" t="s">
        <v>94</v>
      </c>
      <c r="AK4395" s="2">
        <f t="shared" si="700"/>
        <v>0</v>
      </c>
      <c r="AL4395" s="5">
        <f t="shared" si="701"/>
        <v>0</v>
      </c>
    </row>
    <row r="4396" spans="1:38" hidden="1" x14ac:dyDescent="0.2">
      <c r="A4396" s="2">
        <v>2026</v>
      </c>
      <c r="B4396" s="2">
        <v>7</v>
      </c>
      <c r="C4396" s="2" t="s">
        <v>3303</v>
      </c>
      <c r="D4396" s="15" t="s">
        <v>3349</v>
      </c>
      <c r="P4396" s="2" t="s">
        <v>73</v>
      </c>
      <c r="Q4396" s="16" t="s">
        <v>3364</v>
      </c>
      <c r="R4396" s="15" t="s">
        <v>198</v>
      </c>
      <c r="S4396" s="13">
        <v>1</v>
      </c>
      <c r="T4396" s="14">
        <v>375</v>
      </c>
      <c r="U4396" s="2">
        <f t="shared" si="702"/>
        <v>86.25</v>
      </c>
      <c r="V4396" s="2">
        <f t="shared" si="703"/>
        <v>461.25</v>
      </c>
      <c r="W4396" s="2">
        <v>227.14</v>
      </c>
      <c r="X4396" s="5">
        <f t="shared" si="698"/>
        <v>0.39429333333333338</v>
      </c>
      <c r="Z4396" s="2" t="s">
        <v>3233</v>
      </c>
      <c r="AA4396" s="2" t="s">
        <v>76</v>
      </c>
      <c r="AB4396" s="2" t="s">
        <v>77</v>
      </c>
      <c r="AC4396" s="2" t="s">
        <v>78</v>
      </c>
      <c r="AK4396" s="2">
        <f t="shared" si="700"/>
        <v>147.86000000000001</v>
      </c>
      <c r="AL4396" s="5">
        <f t="shared" si="701"/>
        <v>0.39429333333333338</v>
      </c>
    </row>
    <row r="4397" spans="1:38" hidden="1" x14ac:dyDescent="0.2">
      <c r="A4397" s="2">
        <v>2026</v>
      </c>
      <c r="B4397" s="2">
        <v>7</v>
      </c>
      <c r="C4397" s="2" t="s">
        <v>3303</v>
      </c>
      <c r="D4397" s="15" t="s">
        <v>3349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702"/>
        <v>0.34040000000000004</v>
      </c>
      <c r="V4397" s="2">
        <f t="shared" si="703"/>
        <v>1.8204</v>
      </c>
      <c r="W4397" s="2">
        <v>1.48</v>
      </c>
      <c r="X4397" s="5">
        <f t="shared" si="698"/>
        <v>0</v>
      </c>
      <c r="Z4397" s="2" t="s">
        <v>3233</v>
      </c>
      <c r="AA4397" s="2" t="s">
        <v>97</v>
      </c>
      <c r="AB4397" s="2" t="s">
        <v>77</v>
      </c>
      <c r="AC4397" s="2" t="s">
        <v>94</v>
      </c>
      <c r="AK4397" s="2">
        <f t="shared" si="700"/>
        <v>0</v>
      </c>
      <c r="AL4397" s="5">
        <f t="shared" si="701"/>
        <v>0</v>
      </c>
    </row>
    <row r="4398" spans="1:38" hidden="1" x14ac:dyDescent="0.2">
      <c r="A4398" s="2">
        <v>2026</v>
      </c>
      <c r="B4398" s="2">
        <v>7</v>
      </c>
      <c r="C4398" s="2" t="s">
        <v>3303</v>
      </c>
      <c r="D4398" s="15" t="s">
        <v>2565</v>
      </c>
      <c r="M4398" s="2" t="s">
        <v>81</v>
      </c>
      <c r="P4398" s="2" t="s">
        <v>73</v>
      </c>
      <c r="Q4398" s="16" t="s">
        <v>833</v>
      </c>
      <c r="R4398" s="15" t="s">
        <v>75</v>
      </c>
      <c r="S4398" s="13">
        <v>1</v>
      </c>
      <c r="T4398" s="14">
        <v>225</v>
      </c>
      <c r="U4398" s="2">
        <f t="shared" si="702"/>
        <v>51.75</v>
      </c>
      <c r="V4398" s="2">
        <f t="shared" si="703"/>
        <v>276.75</v>
      </c>
      <c r="W4398" s="2">
        <v>132.35499999999999</v>
      </c>
      <c r="X4398" s="5">
        <f t="shared" si="698"/>
        <v>0.4117555555555556</v>
      </c>
      <c r="Z4398" s="2" t="s">
        <v>3233</v>
      </c>
      <c r="AA4398" s="2" t="s">
        <v>76</v>
      </c>
      <c r="AB4398" s="2" t="s">
        <v>77</v>
      </c>
      <c r="AC4398" s="2" t="s">
        <v>78</v>
      </c>
      <c r="AK4398" s="2">
        <f t="shared" si="700"/>
        <v>92.64500000000001</v>
      </c>
      <c r="AL4398" s="5">
        <f t="shared" si="701"/>
        <v>0.4117555555555556</v>
      </c>
    </row>
    <row r="4399" spans="1:38" hidden="1" x14ac:dyDescent="0.2">
      <c r="A4399" s="2">
        <v>2026</v>
      </c>
      <c r="B4399" s="2">
        <v>7</v>
      </c>
      <c r="C4399" s="2" t="s">
        <v>3303</v>
      </c>
      <c r="D4399" s="15" t="s">
        <v>2565</v>
      </c>
      <c r="M4399" s="2" t="s">
        <v>81</v>
      </c>
      <c r="P4399" s="2" t="s">
        <v>94</v>
      </c>
      <c r="Q4399" s="16" t="s">
        <v>95</v>
      </c>
      <c r="R4399" s="15" t="s">
        <v>96</v>
      </c>
      <c r="S4399" s="13">
        <v>1</v>
      </c>
      <c r="T4399" s="14">
        <v>1.48</v>
      </c>
      <c r="U4399" s="2">
        <f t="shared" si="702"/>
        <v>0.34040000000000004</v>
      </c>
      <c r="V4399" s="2">
        <f t="shared" si="703"/>
        <v>1.8204</v>
      </c>
      <c r="W4399" s="2">
        <v>1.48</v>
      </c>
      <c r="X4399" s="5">
        <f t="shared" si="698"/>
        <v>0</v>
      </c>
      <c r="Z4399" s="2" t="s">
        <v>3233</v>
      </c>
      <c r="AA4399" s="2" t="s">
        <v>97</v>
      </c>
      <c r="AB4399" s="2" t="s">
        <v>77</v>
      </c>
      <c r="AC4399" s="2" t="s">
        <v>94</v>
      </c>
      <c r="AK4399" s="2">
        <f t="shared" si="700"/>
        <v>0</v>
      </c>
      <c r="AL4399" s="5">
        <f t="shared" si="701"/>
        <v>0</v>
      </c>
    </row>
    <row r="4400" spans="1:38" hidden="1" x14ac:dyDescent="0.2">
      <c r="A4400" s="2">
        <v>2026</v>
      </c>
      <c r="B4400" s="2">
        <v>7</v>
      </c>
      <c r="C4400" s="2" t="s">
        <v>3303</v>
      </c>
      <c r="D4400" s="15" t="s">
        <v>575</v>
      </c>
      <c r="E4400" s="2" t="s">
        <v>38</v>
      </c>
      <c r="F4400" s="2" t="s">
        <v>39</v>
      </c>
      <c r="G4400" s="2">
        <v>504811029</v>
      </c>
      <c r="H4400" s="2" t="s">
        <v>41</v>
      </c>
      <c r="I4400" s="2" t="s">
        <v>178</v>
      </c>
      <c r="J4400" s="2" t="s">
        <v>576</v>
      </c>
      <c r="L4400" s="2" t="s">
        <v>178</v>
      </c>
      <c r="M4400" s="2" t="s">
        <v>41</v>
      </c>
      <c r="P4400" s="2" t="s">
        <v>43</v>
      </c>
      <c r="Q4400" s="16" t="s">
        <v>64</v>
      </c>
      <c r="R4400" s="15" t="s">
        <v>65</v>
      </c>
      <c r="S4400" s="13">
        <v>20</v>
      </c>
      <c r="T4400" s="14">
        <v>36</v>
      </c>
      <c r="U4400" s="2">
        <f t="shared" si="702"/>
        <v>8.2800000000000011</v>
      </c>
      <c r="V4400" s="2">
        <f t="shared" si="703"/>
        <v>44.28</v>
      </c>
      <c r="X4400" s="5">
        <f t="shared" ref="X4400:X4463" si="704">(T4400-W4400)/T4400</f>
        <v>1</v>
      </c>
      <c r="Z4400" s="2" t="s">
        <v>3233</v>
      </c>
      <c r="AA4400" s="2" t="s">
        <v>46</v>
      </c>
      <c r="AB4400" s="2" t="s">
        <v>61</v>
      </c>
      <c r="AC4400" s="2" t="s">
        <v>58</v>
      </c>
      <c r="AK4400" s="2">
        <f t="shared" si="700"/>
        <v>36</v>
      </c>
      <c r="AL4400" s="5">
        <f t="shared" si="701"/>
        <v>1</v>
      </c>
    </row>
    <row r="4401" spans="1:38" hidden="1" x14ac:dyDescent="0.2">
      <c r="A4401" s="2">
        <v>2026</v>
      </c>
      <c r="B4401" s="2">
        <v>7</v>
      </c>
      <c r="C4401" s="2" t="s">
        <v>3303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580</v>
      </c>
      <c r="R4401" s="15" t="s">
        <v>581</v>
      </c>
      <c r="S4401" s="13">
        <v>20</v>
      </c>
      <c r="T4401" s="14">
        <v>60</v>
      </c>
      <c r="U4401" s="2">
        <f t="shared" si="702"/>
        <v>13.8</v>
      </c>
      <c r="V4401" s="2">
        <f t="shared" si="703"/>
        <v>73.8</v>
      </c>
      <c r="X4401" s="5">
        <f t="shared" si="704"/>
        <v>1</v>
      </c>
      <c r="Z4401" s="2" t="s">
        <v>3233</v>
      </c>
      <c r="AA4401" s="2" t="s">
        <v>46</v>
      </c>
      <c r="AB4401" s="2" t="s">
        <v>61</v>
      </c>
      <c r="AC4401" s="2" t="s">
        <v>58</v>
      </c>
      <c r="AK4401" s="2">
        <f t="shared" si="700"/>
        <v>60</v>
      </c>
      <c r="AL4401" s="5">
        <f t="shared" si="701"/>
        <v>1</v>
      </c>
    </row>
    <row r="4402" spans="1:38" hidden="1" x14ac:dyDescent="0.2">
      <c r="A4402" s="2">
        <v>2026</v>
      </c>
      <c r="B4402" s="2">
        <v>7</v>
      </c>
      <c r="C4402" s="2" t="s">
        <v>3302</v>
      </c>
      <c r="D4402" s="15" t="s">
        <v>2282</v>
      </c>
      <c r="M4402" s="2" t="s">
        <v>40</v>
      </c>
      <c r="P4402" s="2" t="s">
        <v>115</v>
      </c>
      <c r="Q4402" s="16" t="s">
        <v>3365</v>
      </c>
      <c r="R4402" s="15" t="s">
        <v>1102</v>
      </c>
      <c r="S4402" s="13">
        <v>1</v>
      </c>
      <c r="T4402" s="14">
        <v>187.92</v>
      </c>
      <c r="U4402" s="2">
        <f t="shared" si="702"/>
        <v>43.221600000000002</v>
      </c>
      <c r="V4402" s="2">
        <f t="shared" si="703"/>
        <v>231.14159999999998</v>
      </c>
      <c r="W4402" s="2">
        <v>49.96</v>
      </c>
      <c r="X4402" s="5">
        <f t="shared" si="704"/>
        <v>0.73414218816517662</v>
      </c>
      <c r="Z4402" s="2" t="s">
        <v>118</v>
      </c>
      <c r="AA4402" s="2" t="s">
        <v>119</v>
      </c>
      <c r="AB4402" s="2" t="s">
        <v>120</v>
      </c>
      <c r="AC4402" s="2" t="s">
        <v>115</v>
      </c>
      <c r="AK4402" s="2">
        <f t="shared" si="700"/>
        <v>137.95999999999998</v>
      </c>
      <c r="AL4402" s="5">
        <f t="shared" si="701"/>
        <v>0.73414218816517662</v>
      </c>
    </row>
    <row r="4403" spans="1:38" hidden="1" x14ac:dyDescent="0.2">
      <c r="A4403" s="2">
        <v>2026</v>
      </c>
      <c r="B4403" s="2">
        <v>7</v>
      </c>
      <c r="C4403" s="2" t="s">
        <v>3302</v>
      </c>
      <c r="D4403" s="15" t="s">
        <v>2282</v>
      </c>
      <c r="M4403" s="2" t="s">
        <v>40</v>
      </c>
      <c r="P4403" s="2" t="s">
        <v>115</v>
      </c>
      <c r="Q4403" s="16" t="s">
        <v>794</v>
      </c>
      <c r="R4403" s="15" t="s">
        <v>795</v>
      </c>
      <c r="S4403" s="13">
        <v>1</v>
      </c>
      <c r="T4403" s="14">
        <v>539.16999999999996</v>
      </c>
      <c r="U4403" s="2">
        <f t="shared" si="702"/>
        <v>124.00909999999999</v>
      </c>
      <c r="V4403" s="2">
        <f t="shared" si="703"/>
        <v>663.17909999999995</v>
      </c>
      <c r="W4403" s="2">
        <v>257.3</v>
      </c>
      <c r="X4403" s="5">
        <f t="shared" si="704"/>
        <v>0.52278502142181493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700"/>
        <v>281.86999999999995</v>
      </c>
      <c r="AL4403" s="5">
        <f t="shared" si="701"/>
        <v>0.52278502142181493</v>
      </c>
    </row>
    <row r="4404" spans="1:38" hidden="1" x14ac:dyDescent="0.2">
      <c r="A4404" s="2">
        <v>2026</v>
      </c>
      <c r="B4404" s="2">
        <v>7</v>
      </c>
      <c r="C4404" s="2" t="s">
        <v>3302</v>
      </c>
      <c r="D4404" s="15" t="s">
        <v>2282</v>
      </c>
      <c r="M4404" s="2" t="s">
        <v>40</v>
      </c>
      <c r="P4404" s="2" t="s">
        <v>188</v>
      </c>
      <c r="Q4404" s="16" t="s">
        <v>189</v>
      </c>
      <c r="R4404" s="15" t="s">
        <v>190</v>
      </c>
      <c r="S4404" s="13">
        <v>1</v>
      </c>
      <c r="T4404" s="14">
        <v>149</v>
      </c>
      <c r="U4404" s="2">
        <f t="shared" si="702"/>
        <v>34.270000000000003</v>
      </c>
      <c r="V4404" s="2">
        <f t="shared" si="703"/>
        <v>183.27</v>
      </c>
      <c r="W4404" s="2">
        <f>T4404*40%</f>
        <v>59.6</v>
      </c>
      <c r="X4404" s="5">
        <f t="shared" si="704"/>
        <v>0.60000000000000009</v>
      </c>
      <c r="Z4404" s="2" t="s">
        <v>118</v>
      </c>
      <c r="AA4404" s="2" t="s">
        <v>191</v>
      </c>
      <c r="AB4404" s="2" t="s">
        <v>190</v>
      </c>
      <c r="AC4404" s="2" t="s">
        <v>40</v>
      </c>
      <c r="AK4404" s="2">
        <f t="shared" si="700"/>
        <v>89.4</v>
      </c>
      <c r="AL4404" s="5">
        <f t="shared" si="701"/>
        <v>0.60000000000000009</v>
      </c>
    </row>
    <row r="4405" spans="1:38" hidden="1" x14ac:dyDescent="0.2">
      <c r="A4405" s="2">
        <v>2026</v>
      </c>
      <c r="B4405" s="2">
        <v>7</v>
      </c>
      <c r="C4405" s="2" t="s">
        <v>3302</v>
      </c>
      <c r="D4405" s="15" t="s">
        <v>2282</v>
      </c>
      <c r="M4405" s="2" t="s">
        <v>40</v>
      </c>
      <c r="P4405" s="2" t="s">
        <v>188</v>
      </c>
      <c r="Q4405" s="16" t="s">
        <v>192</v>
      </c>
      <c r="R4405" s="15" t="s">
        <v>191</v>
      </c>
      <c r="S4405" s="13">
        <v>2</v>
      </c>
      <c r="T4405" s="14">
        <v>110</v>
      </c>
      <c r="U4405" s="2">
        <f t="shared" si="702"/>
        <v>25.3</v>
      </c>
      <c r="V4405" s="2">
        <f t="shared" si="703"/>
        <v>135.30000000000001</v>
      </c>
      <c r="W4405" s="2">
        <f>T4405*50%</f>
        <v>55</v>
      </c>
      <c r="X4405" s="5">
        <f t="shared" si="704"/>
        <v>0.5</v>
      </c>
      <c r="Z4405" s="2" t="s">
        <v>118</v>
      </c>
      <c r="AA4405" s="2" t="s">
        <v>191</v>
      </c>
      <c r="AB4405" s="2" t="s">
        <v>191</v>
      </c>
      <c r="AC4405" s="2" t="s">
        <v>40</v>
      </c>
      <c r="AK4405" s="2">
        <f t="shared" si="700"/>
        <v>55</v>
      </c>
      <c r="AL4405" s="5">
        <f t="shared" si="701"/>
        <v>0.5</v>
      </c>
    </row>
    <row r="4406" spans="1:38" hidden="1" x14ac:dyDescent="0.2">
      <c r="A4406" s="2">
        <v>2026</v>
      </c>
      <c r="B4406" s="2">
        <v>7</v>
      </c>
      <c r="C4406" s="2" t="s">
        <v>3303</v>
      </c>
      <c r="D4406" s="15" t="s">
        <v>583</v>
      </c>
      <c r="E4406" s="2" t="s">
        <v>109</v>
      </c>
      <c r="G4406" s="2">
        <v>503850276</v>
      </c>
      <c r="H4406" s="2" t="s">
        <v>40</v>
      </c>
      <c r="I4406" s="2" t="s">
        <v>584</v>
      </c>
      <c r="J4406" s="2" t="s">
        <v>585</v>
      </c>
      <c r="L4406" s="2" t="s">
        <v>202</v>
      </c>
      <c r="M4406" s="2" t="s">
        <v>40</v>
      </c>
      <c r="P4406" s="2" t="s">
        <v>699</v>
      </c>
      <c r="Q4406" s="16" t="s">
        <v>3366</v>
      </c>
      <c r="R4406" s="15" t="s">
        <v>3367</v>
      </c>
      <c r="S4406" s="13">
        <v>8</v>
      </c>
      <c r="T4406" s="14">
        <v>100.8</v>
      </c>
      <c r="U4406" s="2">
        <f t="shared" si="702"/>
        <v>23.184000000000001</v>
      </c>
      <c r="V4406" s="2">
        <f t="shared" si="703"/>
        <v>123.98399999999999</v>
      </c>
      <c r="W4406" s="2">
        <f>3*S4406</f>
        <v>24</v>
      </c>
      <c r="X4406" s="5">
        <f t="shared" si="704"/>
        <v>0.76190476190476186</v>
      </c>
      <c r="Z4406" s="2" t="s">
        <v>118</v>
      </c>
      <c r="AA4406" s="2" t="s">
        <v>119</v>
      </c>
      <c r="AB4406" s="2" t="s">
        <v>120</v>
      </c>
      <c r="AC4406" s="2" t="s">
        <v>699</v>
      </c>
      <c r="AK4406" s="2">
        <f t="shared" si="700"/>
        <v>76.8</v>
      </c>
      <c r="AL4406" s="5">
        <f t="shared" si="701"/>
        <v>0.76190476190476186</v>
      </c>
    </row>
    <row r="4407" spans="1:38" hidden="1" x14ac:dyDescent="0.2">
      <c r="A4407" s="2">
        <v>2026</v>
      </c>
      <c r="B4407" s="2">
        <v>7</v>
      </c>
      <c r="C4407" s="2" t="s">
        <v>3303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40</v>
      </c>
      <c r="P4407" s="2" t="s">
        <v>115</v>
      </c>
      <c r="Q4407" s="16" t="s">
        <v>374</v>
      </c>
      <c r="R4407" s="15" t="s">
        <v>375</v>
      </c>
      <c r="S4407" s="13">
        <v>1</v>
      </c>
      <c r="T4407" s="14">
        <v>48.95</v>
      </c>
      <c r="U4407" s="2">
        <f t="shared" si="702"/>
        <v>11.258500000000002</v>
      </c>
      <c r="V4407" s="2">
        <f t="shared" si="703"/>
        <v>60.208500000000001</v>
      </c>
      <c r="W4407" s="2">
        <f>23.042*S4407</f>
        <v>23.042000000000002</v>
      </c>
      <c r="X4407" s="5">
        <f t="shared" si="704"/>
        <v>0.52927477017364655</v>
      </c>
      <c r="Z4407" s="2" t="s">
        <v>118</v>
      </c>
      <c r="AA4407" s="2" t="s">
        <v>119</v>
      </c>
      <c r="AB4407" s="2" t="s">
        <v>120</v>
      </c>
      <c r="AC4407" s="2" t="s">
        <v>115</v>
      </c>
      <c r="AK4407" s="2">
        <f t="shared" si="700"/>
        <v>25.908000000000001</v>
      </c>
      <c r="AL4407" s="5">
        <f t="shared" si="701"/>
        <v>0.52927477017364655</v>
      </c>
    </row>
    <row r="4408" spans="1:38" hidden="1" x14ac:dyDescent="0.2">
      <c r="A4408" s="2">
        <v>2026</v>
      </c>
      <c r="B4408" s="2">
        <v>7</v>
      </c>
      <c r="C4408" s="2" t="s">
        <v>3303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49</v>
      </c>
      <c r="R4408" s="15" t="s">
        <v>50</v>
      </c>
      <c r="S4408" s="13">
        <v>3</v>
      </c>
      <c r="T4408" s="14">
        <v>39</v>
      </c>
      <c r="U4408" s="2">
        <f t="shared" si="702"/>
        <v>8.9700000000000006</v>
      </c>
      <c r="V4408" s="2">
        <f t="shared" si="703"/>
        <v>47.97</v>
      </c>
      <c r="W4408" s="2">
        <f>6.6267*S4408</f>
        <v>19.880099999999999</v>
      </c>
      <c r="X4408" s="5">
        <f t="shared" si="704"/>
        <v>0.49025384615384621</v>
      </c>
      <c r="Z4408" s="2" t="s">
        <v>3233</v>
      </c>
      <c r="AA4408" s="2" t="s">
        <v>46</v>
      </c>
      <c r="AB4408" s="2" t="s">
        <v>47</v>
      </c>
      <c r="AC4408" s="2" t="s">
        <v>48</v>
      </c>
      <c r="AK4408" s="2">
        <f t="shared" si="700"/>
        <v>19.119900000000001</v>
      </c>
      <c r="AL4408" s="5">
        <f t="shared" si="701"/>
        <v>0.49025384615384621</v>
      </c>
    </row>
    <row r="4409" spans="1:38" hidden="1" x14ac:dyDescent="0.2">
      <c r="A4409" s="2">
        <v>2026</v>
      </c>
      <c r="B4409" s="2">
        <v>7</v>
      </c>
      <c r="C4409" s="2" t="s">
        <v>3303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55</v>
      </c>
      <c r="R4409" s="15" t="s">
        <v>56</v>
      </c>
      <c r="S4409" s="13">
        <v>10</v>
      </c>
      <c r="T4409" s="14">
        <v>150</v>
      </c>
      <c r="U4409" s="2">
        <f t="shared" si="702"/>
        <v>34.5</v>
      </c>
      <c r="V4409" s="2">
        <f t="shared" si="703"/>
        <v>184.5</v>
      </c>
      <c r="W4409" s="2">
        <f>10.6*S4409</f>
        <v>106</v>
      </c>
      <c r="X4409" s="5">
        <f t="shared" si="704"/>
        <v>0.29333333333333333</v>
      </c>
      <c r="Z4409" s="2" t="s">
        <v>3233</v>
      </c>
      <c r="AA4409" s="2" t="s">
        <v>46</v>
      </c>
      <c r="AB4409" s="2" t="s">
        <v>57</v>
      </c>
      <c r="AC4409" s="2" t="s">
        <v>58</v>
      </c>
      <c r="AK4409" s="2">
        <f t="shared" si="700"/>
        <v>44</v>
      </c>
      <c r="AL4409" s="5">
        <f t="shared" si="701"/>
        <v>0.29333333333333333</v>
      </c>
    </row>
    <row r="4410" spans="1:38" hidden="1" x14ac:dyDescent="0.2">
      <c r="A4410" s="2">
        <v>2026</v>
      </c>
      <c r="B4410" s="2">
        <v>7</v>
      </c>
      <c r="C4410" s="2" t="s">
        <v>3303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59</v>
      </c>
      <c r="R4410" s="15" t="s">
        <v>60</v>
      </c>
      <c r="S4410" s="2">
        <v>100</v>
      </c>
      <c r="T4410" s="14">
        <v>14</v>
      </c>
      <c r="U4410" s="2">
        <f t="shared" si="702"/>
        <v>3.22</v>
      </c>
      <c r="V4410" s="2">
        <f t="shared" si="703"/>
        <v>17.22</v>
      </c>
      <c r="W4410" s="2">
        <f>0.0914*S4410</f>
        <v>9.1399999999999988</v>
      </c>
      <c r="X4410" s="5">
        <f t="shared" si="704"/>
        <v>0.34714285714285725</v>
      </c>
      <c r="Z4410" s="2" t="s">
        <v>3233</v>
      </c>
      <c r="AA4410" s="2" t="s">
        <v>46</v>
      </c>
      <c r="AB4410" s="2" t="s">
        <v>61</v>
      </c>
      <c r="AC4410" s="2" t="s">
        <v>58</v>
      </c>
      <c r="AK4410" s="2">
        <f t="shared" si="700"/>
        <v>4.8600000000000012</v>
      </c>
      <c r="AL4410" s="5">
        <f t="shared" si="701"/>
        <v>0.34714285714285725</v>
      </c>
    </row>
    <row r="4411" spans="1:38" hidden="1" x14ac:dyDescent="0.2">
      <c r="A4411" s="2">
        <v>2026</v>
      </c>
      <c r="B4411" s="2">
        <v>7</v>
      </c>
      <c r="C4411" s="2" t="s">
        <v>3303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40</v>
      </c>
      <c r="P4411" s="2" t="s">
        <v>188</v>
      </c>
      <c r="Q4411" s="16" t="s">
        <v>189</v>
      </c>
      <c r="R4411" s="15" t="s">
        <v>190</v>
      </c>
      <c r="S4411" s="13">
        <v>1</v>
      </c>
      <c r="T4411" s="14">
        <v>76</v>
      </c>
      <c r="U4411" s="2">
        <f t="shared" si="702"/>
        <v>17.48</v>
      </c>
      <c r="V4411" s="2">
        <f t="shared" si="703"/>
        <v>93.48</v>
      </c>
      <c r="W4411" s="2">
        <f>T4411*40%</f>
        <v>30.400000000000002</v>
      </c>
      <c r="X4411" s="5">
        <f t="shared" si="704"/>
        <v>0.6</v>
      </c>
      <c r="Z4411" s="2" t="s">
        <v>118</v>
      </c>
      <c r="AA4411" s="2" t="s">
        <v>191</v>
      </c>
      <c r="AB4411" s="2" t="s">
        <v>190</v>
      </c>
      <c r="AC4411" s="2" t="s">
        <v>40</v>
      </c>
      <c r="AK4411" s="2">
        <f t="shared" si="700"/>
        <v>45.599999999999994</v>
      </c>
      <c r="AL4411" s="5">
        <f t="shared" si="701"/>
        <v>0.6</v>
      </c>
    </row>
    <row r="4412" spans="1:38" hidden="1" x14ac:dyDescent="0.2">
      <c r="A4412" s="2">
        <v>2026</v>
      </c>
      <c r="B4412" s="2">
        <v>7</v>
      </c>
      <c r="C4412" s="2" t="s">
        <v>3303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192</v>
      </c>
      <c r="R4412" s="15" t="s">
        <v>191</v>
      </c>
      <c r="S4412" s="13">
        <v>1</v>
      </c>
      <c r="T4412" s="14">
        <v>55</v>
      </c>
      <c r="U4412" s="2">
        <f t="shared" si="702"/>
        <v>12.65</v>
      </c>
      <c r="V4412" s="2">
        <f t="shared" si="703"/>
        <v>67.650000000000006</v>
      </c>
      <c r="W4412" s="2">
        <f>T4412*50%</f>
        <v>27.5</v>
      </c>
      <c r="X4412" s="5">
        <f t="shared" si="704"/>
        <v>0.5</v>
      </c>
      <c r="Z4412" s="2" t="s">
        <v>118</v>
      </c>
      <c r="AA4412" s="2" t="s">
        <v>191</v>
      </c>
      <c r="AB4412" s="2" t="s">
        <v>191</v>
      </c>
      <c r="AC4412" s="2" t="s">
        <v>40</v>
      </c>
      <c r="AK4412" s="2">
        <f t="shared" si="700"/>
        <v>27.5</v>
      </c>
      <c r="AL4412" s="5">
        <f t="shared" si="701"/>
        <v>0.5</v>
      </c>
    </row>
    <row r="4413" spans="1:38" hidden="1" x14ac:dyDescent="0.2">
      <c r="A4413" s="2">
        <v>2026</v>
      </c>
      <c r="B4413" s="2">
        <v>7</v>
      </c>
      <c r="C4413" s="2" t="s">
        <v>3303</v>
      </c>
      <c r="D4413" s="15" t="s">
        <v>607</v>
      </c>
      <c r="E4413" s="2" t="s">
        <v>109</v>
      </c>
      <c r="F4413" s="2" t="s">
        <v>39</v>
      </c>
      <c r="L4413" s="2" t="s">
        <v>462</v>
      </c>
      <c r="M4413" s="2" t="s">
        <v>40</v>
      </c>
      <c r="P4413" s="2" t="s">
        <v>115</v>
      </c>
      <c r="Q4413" s="16" t="s">
        <v>736</v>
      </c>
      <c r="R4413" s="15" t="s">
        <v>737</v>
      </c>
      <c r="S4413" s="13">
        <v>2</v>
      </c>
      <c r="T4413" s="14">
        <v>44.1</v>
      </c>
      <c r="U4413" s="2">
        <f t="shared" si="702"/>
        <v>10.143000000000001</v>
      </c>
      <c r="V4413" s="2">
        <f t="shared" si="703"/>
        <v>54.243000000000002</v>
      </c>
      <c r="W4413" s="2">
        <f>11.098*S4413</f>
        <v>22.196000000000002</v>
      </c>
      <c r="X4413" s="5">
        <f t="shared" si="704"/>
        <v>0.49668934240362811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700"/>
        <v>21.904</v>
      </c>
      <c r="AL4413" s="5">
        <f t="shared" si="701"/>
        <v>0.49668934240362811</v>
      </c>
    </row>
    <row r="4414" spans="1:38" hidden="1" x14ac:dyDescent="0.2">
      <c r="A4414" s="2">
        <v>2026</v>
      </c>
      <c r="B4414" s="2">
        <v>7</v>
      </c>
      <c r="C4414" s="2" t="s">
        <v>3303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702"/>
        <v>1.84</v>
      </c>
      <c r="V4414" s="2">
        <f t="shared" si="703"/>
        <v>9.84</v>
      </c>
      <c r="X4414" s="5">
        <f t="shared" si="704"/>
        <v>1</v>
      </c>
      <c r="Z4414" s="2" t="s">
        <v>170</v>
      </c>
      <c r="AA4414" s="2" t="s">
        <v>170</v>
      </c>
      <c r="AK4414" s="2">
        <f t="shared" si="700"/>
        <v>8</v>
      </c>
      <c r="AL4414" s="5">
        <f t="shared" si="701"/>
        <v>1</v>
      </c>
    </row>
    <row r="4415" spans="1:38" hidden="1" x14ac:dyDescent="0.2">
      <c r="A4415" s="2">
        <v>2026</v>
      </c>
      <c r="B4415" s="2">
        <v>7</v>
      </c>
      <c r="C4415" s="2" t="s">
        <v>3303</v>
      </c>
      <c r="D4415" s="15" t="s">
        <v>2787</v>
      </c>
      <c r="E4415" s="2" t="s">
        <v>109</v>
      </c>
      <c r="F4415" s="2" t="s">
        <v>39</v>
      </c>
      <c r="L4415" s="2" t="s">
        <v>100</v>
      </c>
      <c r="M4415" s="2" t="s">
        <v>40</v>
      </c>
      <c r="P4415" s="2" t="s">
        <v>115</v>
      </c>
      <c r="Q4415" s="16" t="s">
        <v>562</v>
      </c>
      <c r="R4415" s="15" t="s">
        <v>563</v>
      </c>
      <c r="S4415" s="13">
        <v>4</v>
      </c>
      <c r="T4415" s="14">
        <v>57.15</v>
      </c>
      <c r="U4415" s="2">
        <f t="shared" si="702"/>
        <v>13.144500000000001</v>
      </c>
      <c r="V4415" s="2">
        <f t="shared" si="703"/>
        <v>70.294499999999999</v>
      </c>
      <c r="W4415" s="2">
        <f>5.3525*S4415</f>
        <v>21.41</v>
      </c>
      <c r="X4415" s="5">
        <f t="shared" si="704"/>
        <v>0.62537182852143469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700"/>
        <v>35.739999999999995</v>
      </c>
      <c r="AL4415" s="5">
        <f t="shared" si="701"/>
        <v>0.62537182852143469</v>
      </c>
    </row>
    <row r="4416" spans="1:38" hidden="1" x14ac:dyDescent="0.2">
      <c r="A4416" s="2">
        <v>2026</v>
      </c>
      <c r="B4416" s="2">
        <v>7</v>
      </c>
      <c r="C4416" s="2" t="s">
        <v>3303</v>
      </c>
      <c r="D4416" s="15" t="s">
        <v>2787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170</v>
      </c>
      <c r="Q4416" s="16" t="s">
        <v>171</v>
      </c>
      <c r="R4416" s="15" t="s">
        <v>171</v>
      </c>
      <c r="S4416" s="13">
        <v>1</v>
      </c>
      <c r="T4416" s="14">
        <v>8</v>
      </c>
      <c r="U4416" s="2">
        <f t="shared" si="702"/>
        <v>1.84</v>
      </c>
      <c r="V4416" s="2">
        <f t="shared" si="703"/>
        <v>9.84</v>
      </c>
      <c r="X4416" s="5">
        <f t="shared" si="704"/>
        <v>1</v>
      </c>
      <c r="Z4416" s="2" t="s">
        <v>170</v>
      </c>
      <c r="AA4416" s="2" t="s">
        <v>170</v>
      </c>
      <c r="AK4416" s="2">
        <f t="shared" si="700"/>
        <v>8</v>
      </c>
      <c r="AL4416" s="5">
        <f t="shared" si="701"/>
        <v>1</v>
      </c>
    </row>
    <row r="4417" spans="1:38" hidden="1" x14ac:dyDescent="0.2">
      <c r="A4417" s="2">
        <v>2026</v>
      </c>
      <c r="B4417" s="2">
        <v>7</v>
      </c>
      <c r="C4417" s="2" t="s">
        <v>3302</v>
      </c>
      <c r="D4417" s="15" t="s">
        <v>625</v>
      </c>
      <c r="L4417" s="2" t="s">
        <v>627</v>
      </c>
      <c r="M4417" s="2" t="s">
        <v>40</v>
      </c>
      <c r="P4417" s="2" t="s">
        <v>115</v>
      </c>
      <c r="Q4417" s="16" t="s">
        <v>136</v>
      </c>
      <c r="R4417" s="15" t="s">
        <v>137</v>
      </c>
      <c r="S4417" s="9">
        <v>1</v>
      </c>
      <c r="T4417" s="14">
        <v>577.91999999999996</v>
      </c>
      <c r="U4417" s="2">
        <v>0</v>
      </c>
      <c r="V4417" s="2">
        <f t="shared" si="703"/>
        <v>577.91999999999996</v>
      </c>
      <c r="W4417" s="2">
        <v>344.89339999999999</v>
      </c>
      <c r="X4417" s="5">
        <f t="shared" si="704"/>
        <v>0.40321601605758584</v>
      </c>
      <c r="Z4417" s="2" t="s">
        <v>118</v>
      </c>
      <c r="AA4417" s="2" t="s">
        <v>119</v>
      </c>
      <c r="AB4417" s="2" t="s">
        <v>120</v>
      </c>
      <c r="AC4417" s="2" t="s">
        <v>115</v>
      </c>
      <c r="AK4417" s="2">
        <f t="shared" si="700"/>
        <v>233.02659999999997</v>
      </c>
      <c r="AL4417" s="5">
        <f t="shared" si="701"/>
        <v>0.40321601605758584</v>
      </c>
    </row>
    <row r="4418" spans="1:38" hidden="1" x14ac:dyDescent="0.2">
      <c r="A4418" s="2">
        <v>2026</v>
      </c>
      <c r="B4418" s="2">
        <v>7</v>
      </c>
      <c r="C4418" s="2" t="s">
        <v>3302</v>
      </c>
      <c r="D4418" s="15" t="s">
        <v>911</v>
      </c>
      <c r="E4418" s="2" t="s">
        <v>38</v>
      </c>
      <c r="F4418" s="2" t="s">
        <v>39</v>
      </c>
      <c r="H4418" s="2" t="s">
        <v>110</v>
      </c>
      <c r="I4418" s="2" t="s">
        <v>134</v>
      </c>
      <c r="L4418" s="2" t="s">
        <v>134</v>
      </c>
      <c r="M4418" s="2" t="s">
        <v>110</v>
      </c>
      <c r="P4418" s="2" t="s">
        <v>115</v>
      </c>
      <c r="Q4418" s="16" t="s">
        <v>413</v>
      </c>
      <c r="R4418" s="15" t="s">
        <v>414</v>
      </c>
      <c r="S4418" s="13">
        <v>1</v>
      </c>
      <c r="T4418" s="14">
        <v>14000</v>
      </c>
      <c r="U4418" s="2">
        <f t="shared" si="702"/>
        <v>3220</v>
      </c>
      <c r="V4418" s="2">
        <f t="shared" si="703"/>
        <v>17220</v>
      </c>
      <c r="W4418" s="2">
        <f>10699.41+285.74</f>
        <v>10985.15</v>
      </c>
      <c r="X4418" s="5">
        <f t="shared" si="704"/>
        <v>0.21534642857142861</v>
      </c>
      <c r="Z4418" s="2" t="s">
        <v>105</v>
      </c>
      <c r="AA4418" s="2" t="s">
        <v>415</v>
      </c>
      <c r="AB4418" s="2" t="s">
        <v>152</v>
      </c>
      <c r="AC4418" s="2" t="s">
        <v>115</v>
      </c>
      <c r="AK4418" s="2">
        <f t="shared" si="700"/>
        <v>3014.8500000000004</v>
      </c>
      <c r="AL4418" s="5">
        <f t="shared" si="701"/>
        <v>0.21534642857142861</v>
      </c>
    </row>
    <row r="4419" spans="1:38" hidden="1" x14ac:dyDescent="0.2">
      <c r="A4419" s="2">
        <v>2026</v>
      </c>
      <c r="B4419" s="2">
        <v>7</v>
      </c>
      <c r="C4419" s="2" t="s">
        <v>3302</v>
      </c>
      <c r="D4419" s="15" t="s">
        <v>634</v>
      </c>
      <c r="E4419" s="2" t="s">
        <v>184</v>
      </c>
      <c r="F4419" s="2" t="s">
        <v>367</v>
      </c>
      <c r="H4419" s="2" t="s">
        <v>291</v>
      </c>
      <c r="L4419" s="2" t="s">
        <v>340</v>
      </c>
      <c r="M4419" s="2" t="s">
        <v>81</v>
      </c>
      <c r="P4419" s="2" t="s">
        <v>73</v>
      </c>
      <c r="Q4419" s="16" t="s">
        <v>665</v>
      </c>
      <c r="R4419" s="15" t="s">
        <v>80</v>
      </c>
      <c r="S4419" s="13">
        <v>1</v>
      </c>
      <c r="T4419" s="14">
        <v>210</v>
      </c>
      <c r="U4419" s="2">
        <f t="shared" si="702"/>
        <v>48.300000000000004</v>
      </c>
      <c r="V4419" s="2">
        <f t="shared" si="703"/>
        <v>258.3</v>
      </c>
      <c r="W4419" s="2">
        <f>113.905+11.25</f>
        <v>125.155</v>
      </c>
      <c r="X4419" s="5">
        <f t="shared" si="704"/>
        <v>0.40402380952380951</v>
      </c>
      <c r="Z4419" s="2" t="s">
        <v>3233</v>
      </c>
      <c r="AA4419" s="2" t="s">
        <v>76</v>
      </c>
      <c r="AB4419" s="2" t="s">
        <v>77</v>
      </c>
      <c r="AC4419" s="2" t="s">
        <v>78</v>
      </c>
      <c r="AK4419" s="2">
        <f t="shared" si="700"/>
        <v>84.844999999999999</v>
      </c>
      <c r="AL4419" s="5">
        <f t="shared" si="701"/>
        <v>0.40402380952380951</v>
      </c>
    </row>
    <row r="4420" spans="1:38" ht="12" hidden="1" customHeight="1" x14ac:dyDescent="0.2">
      <c r="A4420" s="2">
        <v>2026</v>
      </c>
      <c r="B4420" s="2">
        <v>7</v>
      </c>
      <c r="C4420" s="2" t="s">
        <v>3302</v>
      </c>
      <c r="D4420" s="15" t="s">
        <v>634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94</v>
      </c>
      <c r="Q4420" s="16" t="s">
        <v>95</v>
      </c>
      <c r="R4420" s="15" t="s">
        <v>96</v>
      </c>
      <c r="S4420" s="13">
        <v>1</v>
      </c>
      <c r="T4420" s="14">
        <v>1.48</v>
      </c>
      <c r="U4420" s="2">
        <f t="shared" si="702"/>
        <v>0.34040000000000004</v>
      </c>
      <c r="V4420" s="2">
        <f t="shared" si="703"/>
        <v>1.8204</v>
      </c>
      <c r="W4420" s="2">
        <v>1.48</v>
      </c>
      <c r="X4420" s="5">
        <f t="shared" si="704"/>
        <v>0</v>
      </c>
      <c r="Z4420" s="2" t="s">
        <v>3233</v>
      </c>
      <c r="AA4420" s="2" t="s">
        <v>97</v>
      </c>
      <c r="AB4420" s="2" t="s">
        <v>77</v>
      </c>
      <c r="AC4420" s="2" t="s">
        <v>94</v>
      </c>
      <c r="AK4420" s="2">
        <f t="shared" si="700"/>
        <v>0</v>
      </c>
      <c r="AL4420" s="5">
        <f t="shared" si="701"/>
        <v>0</v>
      </c>
    </row>
    <row r="4421" spans="1:38" hidden="1" x14ac:dyDescent="0.2">
      <c r="A4421" s="2">
        <v>2026</v>
      </c>
      <c r="B4421" s="2">
        <v>7</v>
      </c>
      <c r="C4421" s="2" t="s">
        <v>3302</v>
      </c>
      <c r="D4421" s="15" t="s">
        <v>635</v>
      </c>
      <c r="E4421" s="2" t="s">
        <v>109</v>
      </c>
      <c r="F4421" s="2" t="s">
        <v>396</v>
      </c>
      <c r="G4421" s="2">
        <v>502967056</v>
      </c>
      <c r="H4421" s="2" t="s">
        <v>110</v>
      </c>
      <c r="I4421" s="2" t="s">
        <v>636</v>
      </c>
      <c r="J4421" s="2" t="s">
        <v>637</v>
      </c>
      <c r="L4421" s="2" t="s">
        <v>113</v>
      </c>
      <c r="M4421" s="2" t="s">
        <v>40</v>
      </c>
      <c r="P4421" s="2" t="s">
        <v>115</v>
      </c>
      <c r="Q4421" s="16" t="s">
        <v>3368</v>
      </c>
      <c r="R4421" s="15" t="s">
        <v>3369</v>
      </c>
      <c r="S4421" s="13">
        <v>1</v>
      </c>
      <c r="T4421" s="14">
        <v>103.55</v>
      </c>
      <c r="U4421" s="2">
        <f t="shared" si="702"/>
        <v>23.816500000000001</v>
      </c>
      <c r="V4421" s="2">
        <f t="shared" si="703"/>
        <v>127.3665</v>
      </c>
      <c r="W4421" s="2">
        <f>57.53+1</f>
        <v>58.53</v>
      </c>
      <c r="X4421" s="5">
        <f t="shared" si="704"/>
        <v>0.43476581361661032</v>
      </c>
      <c r="Z4421" s="2" t="s">
        <v>118</v>
      </c>
      <c r="AA4421" s="2" t="s">
        <v>119</v>
      </c>
      <c r="AB4421" s="2" t="s">
        <v>120</v>
      </c>
      <c r="AC4421" s="2" t="s">
        <v>115</v>
      </c>
      <c r="AK4421" s="2">
        <f t="shared" si="700"/>
        <v>45.019999999999996</v>
      </c>
      <c r="AL4421" s="5">
        <f t="shared" si="701"/>
        <v>0.43476581361661032</v>
      </c>
    </row>
    <row r="4422" spans="1:38" hidden="1" x14ac:dyDescent="0.2">
      <c r="A4422" s="2">
        <v>2026</v>
      </c>
      <c r="B4422" s="2">
        <v>7</v>
      </c>
      <c r="C4422" s="2" t="s">
        <v>3301</v>
      </c>
      <c r="D4422" s="15" t="s">
        <v>3350</v>
      </c>
      <c r="E4422" s="2" t="s">
        <v>753</v>
      </c>
      <c r="F4422" s="2" t="s">
        <v>39</v>
      </c>
      <c r="L4422" s="2" t="s">
        <v>178</v>
      </c>
      <c r="M4422" s="2" t="s">
        <v>40</v>
      </c>
      <c r="P4422" s="2" t="s">
        <v>283</v>
      </c>
      <c r="Q4422" s="16" t="s">
        <v>3095</v>
      </c>
      <c r="R4422" s="15" t="s">
        <v>3096</v>
      </c>
      <c r="S4422" s="13">
        <v>1</v>
      </c>
      <c r="T4422" s="14">
        <v>2490</v>
      </c>
      <c r="U4422" s="2">
        <f t="shared" si="702"/>
        <v>572.70000000000005</v>
      </c>
      <c r="V4422" s="2">
        <f t="shared" si="703"/>
        <v>3062.7</v>
      </c>
      <c r="W4422" s="2">
        <f>1907.5+49</f>
        <v>1956.5</v>
      </c>
      <c r="X4422" s="5">
        <f t="shared" si="704"/>
        <v>0.21425702811244979</v>
      </c>
      <c r="Z4422" s="2" t="s">
        <v>105</v>
      </c>
      <c r="AA4422" s="2" t="s">
        <v>388</v>
      </c>
      <c r="AB4422" s="2" t="s">
        <v>1333</v>
      </c>
      <c r="AC4422" s="2" t="s">
        <v>1330</v>
      </c>
      <c r="AK4422" s="2">
        <f t="shared" si="700"/>
        <v>533.5</v>
      </c>
      <c r="AL4422" s="5">
        <f t="shared" si="701"/>
        <v>0.21425702811244979</v>
      </c>
    </row>
    <row r="4423" spans="1:38" hidden="1" x14ac:dyDescent="0.2">
      <c r="A4423" s="2">
        <v>2026</v>
      </c>
      <c r="B4423" s="2">
        <v>7</v>
      </c>
      <c r="C4423" s="2" t="s">
        <v>3302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3252</v>
      </c>
      <c r="J4423" s="2" t="s">
        <v>3253</v>
      </c>
      <c r="K4423" s="2">
        <v>96179412</v>
      </c>
      <c r="L4423" s="2" t="s">
        <v>462</v>
      </c>
      <c r="M4423" s="2" t="s">
        <v>40</v>
      </c>
      <c r="O4423" s="2" t="s">
        <v>3384</v>
      </c>
      <c r="P4423" s="2" t="s">
        <v>115</v>
      </c>
      <c r="Q4423" s="16" t="s">
        <v>180</v>
      </c>
      <c r="R4423" s="15" t="s">
        <v>181</v>
      </c>
      <c r="S4423" s="13">
        <v>1</v>
      </c>
      <c r="T4423" s="14">
        <v>699.3</v>
      </c>
      <c r="U4423" s="2">
        <f t="shared" si="702"/>
        <v>160.839</v>
      </c>
      <c r="V4423" s="2">
        <f t="shared" si="703"/>
        <v>860.1389999999999</v>
      </c>
      <c r="W4423" s="2">
        <v>343.38580000000002</v>
      </c>
      <c r="X4423" s="5">
        <f t="shared" si="704"/>
        <v>0.50895781495781489</v>
      </c>
      <c r="Z4423" s="2" t="s">
        <v>118</v>
      </c>
      <c r="AA4423" s="2" t="s">
        <v>182</v>
      </c>
      <c r="AB4423" s="2" t="s">
        <v>120</v>
      </c>
      <c r="AC4423" s="2" t="s">
        <v>115</v>
      </c>
      <c r="AK4423" s="2">
        <f t="shared" si="700"/>
        <v>355.91419999999994</v>
      </c>
      <c r="AL4423" s="5">
        <f t="shared" si="701"/>
        <v>0.50895781495781489</v>
      </c>
    </row>
    <row r="4424" spans="1:38" hidden="1" x14ac:dyDescent="0.2">
      <c r="A4424" s="2">
        <v>2026</v>
      </c>
      <c r="B4424" s="2">
        <v>7</v>
      </c>
      <c r="C4424" s="2" t="s">
        <v>3302</v>
      </c>
      <c r="D4424" s="15" t="s">
        <v>1122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3252</v>
      </c>
      <c r="J4424" s="2" t="s">
        <v>3253</v>
      </c>
      <c r="K4424" s="2">
        <v>96179412</v>
      </c>
      <c r="L4424" s="2" t="s">
        <v>462</v>
      </c>
      <c r="M4424" s="2" t="s">
        <v>40</v>
      </c>
      <c r="O4424" s="2" t="s">
        <v>3384</v>
      </c>
      <c r="P4424" s="2" t="s">
        <v>188</v>
      </c>
      <c r="Q4424" s="16" t="s">
        <v>189</v>
      </c>
      <c r="R4424" s="15" t="s">
        <v>190</v>
      </c>
      <c r="S4424" s="13">
        <v>1</v>
      </c>
      <c r="T4424" s="14">
        <v>246</v>
      </c>
      <c r="U4424" s="2">
        <f t="shared" si="702"/>
        <v>56.580000000000005</v>
      </c>
      <c r="V4424" s="2">
        <f t="shared" si="703"/>
        <v>302.58</v>
      </c>
      <c r="W4424" s="2">
        <f>T4424*40%</f>
        <v>98.4</v>
      </c>
      <c r="X4424" s="5">
        <f t="shared" si="704"/>
        <v>0.6</v>
      </c>
      <c r="Z4424" s="2" t="s">
        <v>118</v>
      </c>
      <c r="AA4424" s="2" t="s">
        <v>191</v>
      </c>
      <c r="AB4424" s="2" t="s">
        <v>190</v>
      </c>
      <c r="AC4424" s="2" t="s">
        <v>40</v>
      </c>
      <c r="AK4424" s="2">
        <f t="shared" si="700"/>
        <v>147.6</v>
      </c>
      <c r="AL4424" s="5">
        <f t="shared" si="701"/>
        <v>0.6</v>
      </c>
    </row>
    <row r="4425" spans="1:38" hidden="1" x14ac:dyDescent="0.2">
      <c r="A4425" s="2">
        <v>2026</v>
      </c>
      <c r="B4425" s="2">
        <v>7</v>
      </c>
      <c r="C4425" s="2" t="s">
        <v>3302</v>
      </c>
      <c r="D4425" s="15" t="s">
        <v>1122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3252</v>
      </c>
      <c r="J4425" s="2" t="s">
        <v>3253</v>
      </c>
      <c r="K4425" s="2">
        <v>96179412</v>
      </c>
      <c r="L4425" s="2" t="s">
        <v>462</v>
      </c>
      <c r="M4425" s="2" t="s">
        <v>40</v>
      </c>
      <c r="O4425" s="2" t="s">
        <v>3384</v>
      </c>
      <c r="P4425" s="2" t="s">
        <v>188</v>
      </c>
      <c r="Q4425" s="16" t="s">
        <v>192</v>
      </c>
      <c r="R4425" s="15" t="s">
        <v>191</v>
      </c>
      <c r="S4425" s="13">
        <v>1.5</v>
      </c>
      <c r="T4425" s="14">
        <v>82.5</v>
      </c>
      <c r="U4425" s="2">
        <f t="shared" si="702"/>
        <v>18.975000000000001</v>
      </c>
      <c r="V4425" s="2">
        <f t="shared" si="703"/>
        <v>101.47499999999999</v>
      </c>
      <c r="W4425" s="2">
        <f>T4425*50%</f>
        <v>41.25</v>
      </c>
      <c r="X4425" s="5">
        <f t="shared" si="704"/>
        <v>0.5</v>
      </c>
      <c r="Z4425" s="2" t="s">
        <v>118</v>
      </c>
      <c r="AA4425" s="2" t="s">
        <v>191</v>
      </c>
      <c r="AB4425" s="2" t="s">
        <v>191</v>
      </c>
      <c r="AC4425" s="2" t="s">
        <v>40</v>
      </c>
      <c r="AK4425" s="2">
        <f t="shared" si="700"/>
        <v>41.25</v>
      </c>
      <c r="AL4425" s="5">
        <f t="shared" si="701"/>
        <v>0.5</v>
      </c>
    </row>
    <row r="4426" spans="1:38" hidden="1" x14ac:dyDescent="0.2">
      <c r="A4426" s="2">
        <v>2026</v>
      </c>
      <c r="B4426" s="2">
        <v>7</v>
      </c>
      <c r="C4426" s="2" t="s">
        <v>3303</v>
      </c>
      <c r="D4426" s="15" t="s">
        <v>3351</v>
      </c>
      <c r="E4426" s="2" t="s">
        <v>38</v>
      </c>
      <c r="F4426" s="2" t="s">
        <v>39</v>
      </c>
      <c r="H4426" s="2" t="s">
        <v>40</v>
      </c>
      <c r="I4426" s="2" t="s">
        <v>3383</v>
      </c>
      <c r="L4426" s="2" t="s">
        <v>202</v>
      </c>
      <c r="M4426" s="2" t="s">
        <v>81</v>
      </c>
      <c r="P4426" s="2" t="s">
        <v>73</v>
      </c>
      <c r="Q4426" s="16" t="s">
        <v>74</v>
      </c>
      <c r="R4426" s="15" t="s">
        <v>75</v>
      </c>
      <c r="S4426" s="13">
        <v>1</v>
      </c>
      <c r="T4426" s="14">
        <v>230</v>
      </c>
      <c r="U4426" s="2">
        <f t="shared" si="702"/>
        <v>52.900000000000006</v>
      </c>
      <c r="V4426" s="2">
        <f t="shared" si="703"/>
        <v>282.89999999999998</v>
      </c>
      <c r="W4426" s="2">
        <v>125.51600000000001</v>
      </c>
      <c r="X4426" s="5">
        <f t="shared" si="704"/>
        <v>0.45427826086956519</v>
      </c>
      <c r="Z4426" s="2" t="s">
        <v>3233</v>
      </c>
      <c r="AA4426" s="2" t="s">
        <v>76</v>
      </c>
      <c r="AB4426" s="2" t="s">
        <v>77</v>
      </c>
      <c r="AC4426" s="2" t="s">
        <v>78</v>
      </c>
      <c r="AK4426" s="2">
        <f t="shared" si="700"/>
        <v>104.48399999999999</v>
      </c>
      <c r="AL4426" s="5">
        <f t="shared" si="701"/>
        <v>0.45427826086956519</v>
      </c>
    </row>
    <row r="4427" spans="1:38" hidden="1" x14ac:dyDescent="0.2">
      <c r="A4427" s="2">
        <v>2026</v>
      </c>
      <c r="B4427" s="2">
        <v>7</v>
      </c>
      <c r="C4427" s="2" t="s">
        <v>3303</v>
      </c>
      <c r="D4427" s="15" t="s">
        <v>3351</v>
      </c>
      <c r="E4427" s="2" t="s">
        <v>38</v>
      </c>
      <c r="F4427" s="2" t="s">
        <v>39</v>
      </c>
      <c r="H4427" s="2" t="s">
        <v>40</v>
      </c>
      <c r="I4427" s="2" t="s">
        <v>3383</v>
      </c>
      <c r="L4427" s="2" t="s">
        <v>202</v>
      </c>
      <c r="M4427" s="2" t="s">
        <v>81</v>
      </c>
      <c r="P4427" s="2" t="s">
        <v>94</v>
      </c>
      <c r="Q4427" s="16" t="s">
        <v>95</v>
      </c>
      <c r="R4427" s="15" t="s">
        <v>96</v>
      </c>
      <c r="S4427" s="13">
        <v>1</v>
      </c>
      <c r="T4427" s="14">
        <v>1.48</v>
      </c>
      <c r="U4427" s="2">
        <f t="shared" si="702"/>
        <v>0.34040000000000004</v>
      </c>
      <c r="V4427" s="2">
        <f t="shared" si="703"/>
        <v>1.8204</v>
      </c>
      <c r="W4427" s="2">
        <v>1.48</v>
      </c>
      <c r="X4427" s="5">
        <f t="shared" si="704"/>
        <v>0</v>
      </c>
      <c r="Z4427" s="2" t="s">
        <v>3233</v>
      </c>
      <c r="AA4427" s="2" t="s">
        <v>97</v>
      </c>
      <c r="AB4427" s="2" t="s">
        <v>77</v>
      </c>
      <c r="AC4427" s="2" t="s">
        <v>94</v>
      </c>
      <c r="AK4427" s="2">
        <f t="shared" si="700"/>
        <v>0</v>
      </c>
      <c r="AL4427" s="5">
        <f t="shared" si="701"/>
        <v>0</v>
      </c>
    </row>
    <row r="4428" spans="1:38" hidden="1" x14ac:dyDescent="0.2">
      <c r="A4428" s="2">
        <v>2026</v>
      </c>
      <c r="B4428" s="2">
        <v>7</v>
      </c>
      <c r="C4428" s="2" t="s">
        <v>3303</v>
      </c>
      <c r="D4428" s="15" t="s">
        <v>1315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1316</v>
      </c>
      <c r="L4428" s="2" t="s">
        <v>178</v>
      </c>
      <c r="M4428" s="2" t="s">
        <v>41</v>
      </c>
      <c r="O4428" s="2" t="s">
        <v>3382</v>
      </c>
      <c r="P4428" s="2" t="s">
        <v>43</v>
      </c>
      <c r="Q4428" s="16" t="s">
        <v>159</v>
      </c>
      <c r="R4428" s="15" t="s">
        <v>160</v>
      </c>
      <c r="S4428" s="13">
        <v>1</v>
      </c>
      <c r="T4428" s="14">
        <v>21</v>
      </c>
      <c r="U4428" s="2">
        <f t="shared" si="702"/>
        <v>4.83</v>
      </c>
      <c r="V4428" s="2">
        <f t="shared" si="703"/>
        <v>25.83</v>
      </c>
      <c r="W4428" s="2">
        <f>9.3*S4428</f>
        <v>9.3000000000000007</v>
      </c>
      <c r="X4428" s="5">
        <f t="shared" si="704"/>
        <v>0.55714285714285716</v>
      </c>
      <c r="Z4428" s="2" t="s">
        <v>3233</v>
      </c>
      <c r="AA4428" s="2" t="s">
        <v>46</v>
      </c>
      <c r="AB4428" s="2" t="s">
        <v>47</v>
      </c>
      <c r="AC4428" s="2" t="s">
        <v>48</v>
      </c>
      <c r="AK4428" s="2">
        <f t="shared" si="700"/>
        <v>11.7</v>
      </c>
      <c r="AL4428" s="5">
        <f t="shared" si="701"/>
        <v>0.55714285714285716</v>
      </c>
    </row>
    <row r="4429" spans="1:38" hidden="1" x14ac:dyDescent="0.2">
      <c r="A4429" s="2">
        <v>2026</v>
      </c>
      <c r="B4429" s="2">
        <v>7</v>
      </c>
      <c r="C4429" s="2" t="s">
        <v>3303</v>
      </c>
      <c r="D4429" s="15" t="s">
        <v>1315</v>
      </c>
      <c r="E4429" s="2" t="s">
        <v>38</v>
      </c>
      <c r="F4429" s="2" t="s">
        <v>39</v>
      </c>
      <c r="G4429" s="2">
        <v>509512739</v>
      </c>
      <c r="H4429" s="2" t="s">
        <v>41</v>
      </c>
      <c r="I4429" s="2" t="s">
        <v>178</v>
      </c>
      <c r="J4429" s="2" t="s">
        <v>1316</v>
      </c>
      <c r="L4429" s="2" t="s">
        <v>178</v>
      </c>
      <c r="M4429" s="2" t="s">
        <v>41</v>
      </c>
      <c r="O4429" s="2" t="s">
        <v>3382</v>
      </c>
      <c r="P4429" s="2" t="s">
        <v>43</v>
      </c>
      <c r="Q4429" s="16" t="s">
        <v>55</v>
      </c>
      <c r="R4429" s="15" t="s">
        <v>56</v>
      </c>
      <c r="S4429" s="13">
        <v>2</v>
      </c>
      <c r="T4429" s="14">
        <v>36</v>
      </c>
      <c r="U4429" s="2">
        <f t="shared" si="702"/>
        <v>8.2800000000000011</v>
      </c>
      <c r="V4429" s="2">
        <f t="shared" si="703"/>
        <v>44.28</v>
      </c>
      <c r="W4429" s="2">
        <f>10.6*S4429</f>
        <v>21.2</v>
      </c>
      <c r="X4429" s="5">
        <f t="shared" si="704"/>
        <v>0.41111111111111115</v>
      </c>
      <c r="Z4429" s="2" t="s">
        <v>3233</v>
      </c>
      <c r="AA4429" s="2" t="s">
        <v>46</v>
      </c>
      <c r="AB4429" s="2" t="s">
        <v>57</v>
      </c>
      <c r="AC4429" s="2" t="s">
        <v>58</v>
      </c>
      <c r="AK4429" s="2">
        <f t="shared" si="700"/>
        <v>14.8</v>
      </c>
      <c r="AL4429" s="5">
        <f t="shared" si="701"/>
        <v>0.41111111111111115</v>
      </c>
    </row>
    <row r="4430" spans="1:38" hidden="1" x14ac:dyDescent="0.2">
      <c r="A4430" s="2">
        <v>2026</v>
      </c>
      <c r="B4430" s="2">
        <v>7</v>
      </c>
      <c r="C4430" s="2" t="s">
        <v>3303</v>
      </c>
      <c r="D4430" s="15" t="s">
        <v>1315</v>
      </c>
      <c r="E4430" s="2" t="s">
        <v>38</v>
      </c>
      <c r="F4430" s="2" t="s">
        <v>39</v>
      </c>
      <c r="G4430" s="2">
        <v>509512739</v>
      </c>
      <c r="H4430" s="2" t="s">
        <v>41</v>
      </c>
      <c r="I4430" s="2" t="s">
        <v>178</v>
      </c>
      <c r="J4430" s="2" t="s">
        <v>1316</v>
      </c>
      <c r="L4430" s="2" t="s">
        <v>178</v>
      </c>
      <c r="M4430" s="2" t="s">
        <v>41</v>
      </c>
      <c r="O4430" s="2" t="s">
        <v>3382</v>
      </c>
      <c r="P4430" s="2" t="s">
        <v>43</v>
      </c>
      <c r="Q4430" s="16" t="s">
        <v>255</v>
      </c>
      <c r="R4430" s="15" t="s">
        <v>256</v>
      </c>
      <c r="S4430" s="13">
        <v>100</v>
      </c>
      <c r="T4430" s="14">
        <v>14</v>
      </c>
      <c r="U4430" s="2">
        <f t="shared" si="702"/>
        <v>3.22</v>
      </c>
      <c r="V4430" s="2">
        <f t="shared" si="703"/>
        <v>17.22</v>
      </c>
      <c r="W4430" s="2">
        <f>0.0914*S4430</f>
        <v>9.1399999999999988</v>
      </c>
      <c r="X4430" s="5">
        <f t="shared" si="704"/>
        <v>0.34714285714285725</v>
      </c>
      <c r="Z4430" s="2" t="s">
        <v>3233</v>
      </c>
      <c r="AA4430" s="2" t="s">
        <v>46</v>
      </c>
      <c r="AB4430" s="2" t="s">
        <v>61</v>
      </c>
      <c r="AC4430" s="2" t="s">
        <v>58</v>
      </c>
      <c r="AK4430" s="2">
        <f t="shared" si="700"/>
        <v>4.8600000000000012</v>
      </c>
      <c r="AL4430" s="5">
        <f t="shared" si="701"/>
        <v>0.34714285714285725</v>
      </c>
    </row>
    <row r="4431" spans="1:38" hidden="1" x14ac:dyDescent="0.2">
      <c r="A4431" s="2">
        <v>2026</v>
      </c>
      <c r="B4431" s="2">
        <v>7</v>
      </c>
      <c r="C4431" s="2" t="s">
        <v>3302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3381</v>
      </c>
      <c r="P4431" s="2" t="s">
        <v>115</v>
      </c>
      <c r="Q4431" s="16" t="s">
        <v>3370</v>
      </c>
      <c r="R4431" s="15" t="s">
        <v>3371</v>
      </c>
      <c r="S4431" s="13">
        <v>12</v>
      </c>
      <c r="T4431" s="14">
        <v>157.75</v>
      </c>
      <c r="U4431" s="2">
        <f t="shared" si="702"/>
        <v>36.282499999999999</v>
      </c>
      <c r="V4431" s="2">
        <f t="shared" si="703"/>
        <v>194.0325</v>
      </c>
      <c r="W4431" s="2">
        <f>6.26*S4431</f>
        <v>75.12</v>
      </c>
      <c r="X4431" s="5">
        <f t="shared" si="704"/>
        <v>0.52380348652931852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>T4431-W4431</f>
        <v>82.63</v>
      </c>
      <c r="AL4431" s="5">
        <f>(T4431-W4431)/T4431</f>
        <v>0.52380348652931852</v>
      </c>
    </row>
    <row r="4432" spans="1:38" hidden="1" x14ac:dyDescent="0.2">
      <c r="A4432" s="2">
        <v>2026</v>
      </c>
      <c r="B4432" s="2">
        <v>7</v>
      </c>
      <c r="C4432" s="2" t="s">
        <v>3302</v>
      </c>
      <c r="D4432" s="15" t="s">
        <v>1127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3381</v>
      </c>
      <c r="P4432" s="2" t="s">
        <v>115</v>
      </c>
      <c r="Q4432" s="16" t="s">
        <v>3372</v>
      </c>
      <c r="R4432" s="15" t="s">
        <v>3373</v>
      </c>
      <c r="S4432" s="13">
        <v>2</v>
      </c>
      <c r="T4432" s="14">
        <v>571.12</v>
      </c>
      <c r="U4432" s="2">
        <f>T4432*23%</f>
        <v>131.35760000000002</v>
      </c>
      <c r="V4432" s="2">
        <f>T4432+U4432</f>
        <v>702.47760000000005</v>
      </c>
      <c r="W4432" s="2">
        <f>135.98+1.76*S4432</f>
        <v>139.5</v>
      </c>
      <c r="X4432" s="5">
        <f t="shared" si="704"/>
        <v>0.75574310127468836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431.62</v>
      </c>
      <c r="AL4432" s="5">
        <f>(T4432-W4432)/T4432</f>
        <v>0.75574310127468836</v>
      </c>
    </row>
    <row r="4433" spans="1:38" hidden="1" x14ac:dyDescent="0.2">
      <c r="A4433" s="2">
        <v>2026</v>
      </c>
      <c r="B4433" s="2">
        <v>7</v>
      </c>
      <c r="C4433" s="2" t="s">
        <v>3302</v>
      </c>
      <c r="D4433" s="15" t="s">
        <v>1127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3381</v>
      </c>
      <c r="P4433" s="2" t="s">
        <v>115</v>
      </c>
      <c r="Q4433" s="16" t="s">
        <v>3374</v>
      </c>
      <c r="R4433" s="15" t="s">
        <v>3375</v>
      </c>
      <c r="S4433" s="13">
        <v>16</v>
      </c>
      <c r="T4433" s="14">
        <v>117.6</v>
      </c>
      <c r="U4433" s="2">
        <f>T4433*23%</f>
        <v>27.047999999999998</v>
      </c>
      <c r="V4433" s="2">
        <f>T4433+U4433</f>
        <v>144.648</v>
      </c>
      <c r="W4433" s="2">
        <f>3.5+5*S4433</f>
        <v>83.5</v>
      </c>
      <c r="X4433" s="5">
        <f t="shared" si="704"/>
        <v>0.28996598639455778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34.099999999999994</v>
      </c>
      <c r="AL4433" s="5">
        <f>(T4433-W4433)/T4433</f>
        <v>0.28996598639455778</v>
      </c>
    </row>
    <row r="4434" spans="1:38" hidden="1" x14ac:dyDescent="0.2">
      <c r="A4434" s="2">
        <v>2026</v>
      </c>
      <c r="B4434" s="2">
        <v>7</v>
      </c>
      <c r="C4434" s="2" t="s">
        <v>3433</v>
      </c>
      <c r="D4434" s="2" t="s">
        <v>37</v>
      </c>
      <c r="E4434" s="2" t="s">
        <v>38</v>
      </c>
      <c r="F4434" s="2" t="s">
        <v>39</v>
      </c>
      <c r="L4434" s="2" t="s">
        <v>3277</v>
      </c>
      <c r="M4434" s="2" t="s">
        <v>81</v>
      </c>
      <c r="P4434" s="2" t="s">
        <v>43</v>
      </c>
      <c r="Q4434" s="23" t="s">
        <v>55</v>
      </c>
      <c r="R4434" s="23" t="s">
        <v>56</v>
      </c>
      <c r="S4434" s="21">
        <v>3</v>
      </c>
      <c r="T4434" s="22">
        <v>48</v>
      </c>
      <c r="U4434" s="2">
        <f>T4434*23%</f>
        <v>11.040000000000001</v>
      </c>
      <c r="V4434" s="2">
        <f>T4434+U4434</f>
        <v>59.04</v>
      </c>
      <c r="W4434" s="2">
        <f>10.6*S4434</f>
        <v>31.799999999999997</v>
      </c>
      <c r="X4434" s="5">
        <f t="shared" si="704"/>
        <v>0.33750000000000008</v>
      </c>
      <c r="Z4434" s="2" t="s">
        <v>3233</v>
      </c>
      <c r="AA4434" s="2" t="s">
        <v>46</v>
      </c>
      <c r="AB4434" s="2" t="s">
        <v>57</v>
      </c>
      <c r="AC4434" s="2" t="s">
        <v>58</v>
      </c>
      <c r="AK4434" s="2">
        <f t="shared" ref="AK4434:AK4444" si="705">T4434-W4434</f>
        <v>16.200000000000003</v>
      </c>
      <c r="AL4434" s="5">
        <f t="shared" ref="AL4434:AL4444" si="706">(T4434-W4434)/T4434</f>
        <v>0.33750000000000008</v>
      </c>
    </row>
    <row r="4435" spans="1:38" hidden="1" x14ac:dyDescent="0.2">
      <c r="A4435" s="2">
        <v>2026</v>
      </c>
      <c r="B4435" s="2">
        <v>7</v>
      </c>
      <c r="C4435" s="2" t="s">
        <v>3433</v>
      </c>
      <c r="D4435" s="2" t="s">
        <v>37</v>
      </c>
      <c r="E4435" s="2" t="s">
        <v>38</v>
      </c>
      <c r="F4435" s="2" t="s">
        <v>39</v>
      </c>
      <c r="L4435" s="2" t="s">
        <v>3277</v>
      </c>
      <c r="M4435" s="2" t="s">
        <v>81</v>
      </c>
      <c r="P4435" s="2" t="s">
        <v>43</v>
      </c>
      <c r="Q4435" s="23" t="s">
        <v>62</v>
      </c>
      <c r="R4435" s="23" t="s">
        <v>63</v>
      </c>
      <c r="S4435" s="21">
        <v>700</v>
      </c>
      <c r="T4435" s="22">
        <v>70</v>
      </c>
      <c r="U4435" s="2">
        <f t="shared" ref="U4435:U4444" si="707">T4435*23%</f>
        <v>16.100000000000001</v>
      </c>
      <c r="V4435" s="2">
        <f t="shared" ref="V4435:V4445" si="708">T4435+U4435</f>
        <v>86.1</v>
      </c>
      <c r="W4435" s="2">
        <f>0.082*S4435</f>
        <v>57.400000000000006</v>
      </c>
      <c r="X4435" s="5">
        <f t="shared" si="704"/>
        <v>0.17999999999999991</v>
      </c>
      <c r="Z4435" s="2" t="s">
        <v>3233</v>
      </c>
      <c r="AA4435" s="2" t="s">
        <v>46</v>
      </c>
      <c r="AB4435" s="2" t="s">
        <v>61</v>
      </c>
      <c r="AC4435" s="2" t="s">
        <v>58</v>
      </c>
      <c r="AK4435" s="2">
        <f t="shared" si="705"/>
        <v>12.599999999999994</v>
      </c>
      <c r="AL4435" s="5">
        <f t="shared" si="706"/>
        <v>0.17999999999999991</v>
      </c>
    </row>
    <row r="4436" spans="1:38" hidden="1" x14ac:dyDescent="0.2">
      <c r="A4436" s="2">
        <v>2026</v>
      </c>
      <c r="B4436" s="2">
        <v>7</v>
      </c>
      <c r="C4436" s="2" t="s">
        <v>3433</v>
      </c>
      <c r="D4436" s="23" t="s">
        <v>1548</v>
      </c>
      <c r="E4436" s="2" t="s">
        <v>109</v>
      </c>
      <c r="F4436" s="2" t="s">
        <v>39</v>
      </c>
      <c r="L4436" s="2" t="s">
        <v>178</v>
      </c>
      <c r="M4436" s="2" t="s">
        <v>40</v>
      </c>
      <c r="P4436" s="2" t="s">
        <v>115</v>
      </c>
      <c r="Q4436" s="23" t="s">
        <v>562</v>
      </c>
      <c r="R4436" s="23" t="s">
        <v>563</v>
      </c>
      <c r="S4436" s="21">
        <v>1</v>
      </c>
      <c r="T4436" s="22">
        <v>14.29</v>
      </c>
      <c r="U4436" s="2">
        <f t="shared" si="707"/>
        <v>3.2866999999999997</v>
      </c>
      <c r="V4436" s="2">
        <f t="shared" si="708"/>
        <v>17.576699999999999</v>
      </c>
      <c r="W4436" s="2">
        <v>5.3525</v>
      </c>
      <c r="X4436" s="5">
        <f t="shared" si="704"/>
        <v>0.62543736878936318</v>
      </c>
      <c r="Z4436" s="2" t="s">
        <v>118</v>
      </c>
      <c r="AA4436" s="2" t="s">
        <v>119</v>
      </c>
      <c r="AB4436" s="2" t="s">
        <v>120</v>
      </c>
      <c r="AC4436" s="2" t="s">
        <v>115</v>
      </c>
      <c r="AK4436" s="2">
        <f t="shared" si="705"/>
        <v>8.9375</v>
      </c>
      <c r="AL4436" s="5">
        <f t="shared" si="706"/>
        <v>0.62543736878936318</v>
      </c>
    </row>
    <row r="4437" spans="1:38" hidden="1" x14ac:dyDescent="0.2">
      <c r="A4437" s="2">
        <v>2026</v>
      </c>
      <c r="B4437" s="2">
        <v>7</v>
      </c>
      <c r="C4437" s="2" t="s">
        <v>3433</v>
      </c>
      <c r="D4437" s="23" t="s">
        <v>2780</v>
      </c>
      <c r="E4437" s="2" t="s">
        <v>109</v>
      </c>
      <c r="F4437" s="2" t="s">
        <v>39</v>
      </c>
      <c r="L4437" s="2" t="s">
        <v>2444</v>
      </c>
      <c r="M4437" s="2" t="s">
        <v>40</v>
      </c>
      <c r="P4437" s="2" t="s">
        <v>115</v>
      </c>
      <c r="Q4437" s="23" t="s">
        <v>468</v>
      </c>
      <c r="R4437" s="23" t="s">
        <v>469</v>
      </c>
      <c r="S4437" s="21">
        <v>1</v>
      </c>
      <c r="T4437" s="22">
        <v>418.99</v>
      </c>
      <c r="U4437" s="2">
        <f t="shared" si="707"/>
        <v>96.367699999999999</v>
      </c>
      <c r="V4437" s="2">
        <f t="shared" si="708"/>
        <v>515.35770000000002</v>
      </c>
      <c r="W4437" s="2">
        <v>237.8466</v>
      </c>
      <c r="X4437" s="5">
        <f t="shared" si="704"/>
        <v>0.43233346857920241</v>
      </c>
      <c r="Z4437" s="2" t="s">
        <v>118</v>
      </c>
      <c r="AA4437" s="2" t="s">
        <v>119</v>
      </c>
      <c r="AB4437" s="2" t="s">
        <v>120</v>
      </c>
      <c r="AC4437" s="2" t="s">
        <v>115</v>
      </c>
      <c r="AK4437" s="2">
        <f t="shared" si="705"/>
        <v>181.14340000000001</v>
      </c>
      <c r="AL4437" s="5">
        <f t="shared" si="706"/>
        <v>0.43233346857920241</v>
      </c>
    </row>
    <row r="4438" spans="1:38" hidden="1" x14ac:dyDescent="0.2">
      <c r="A4438" s="2">
        <v>2026</v>
      </c>
      <c r="B4438" s="2">
        <v>7</v>
      </c>
      <c r="C4438" s="2" t="s">
        <v>3433</v>
      </c>
      <c r="D4438" s="23" t="s">
        <v>2780</v>
      </c>
      <c r="E4438" s="2" t="s">
        <v>109</v>
      </c>
      <c r="F4438" s="2" t="s">
        <v>39</v>
      </c>
      <c r="L4438" s="2" t="s">
        <v>2444</v>
      </c>
      <c r="M4438" s="2" t="s">
        <v>40</v>
      </c>
      <c r="P4438" s="2" t="s">
        <v>188</v>
      </c>
      <c r="Q4438" s="23" t="s">
        <v>189</v>
      </c>
      <c r="R4438" s="23" t="s">
        <v>190</v>
      </c>
      <c r="S4438" s="21">
        <v>1</v>
      </c>
      <c r="T4438" s="22">
        <v>99</v>
      </c>
      <c r="U4438" s="2">
        <f t="shared" si="707"/>
        <v>22.77</v>
      </c>
      <c r="V4438" s="2">
        <f t="shared" si="708"/>
        <v>121.77</v>
      </c>
      <c r="W4438" s="2">
        <f>T4438*40%</f>
        <v>39.6</v>
      </c>
      <c r="X4438" s="5">
        <f t="shared" si="704"/>
        <v>0.6</v>
      </c>
      <c r="Z4438" s="2" t="s">
        <v>118</v>
      </c>
      <c r="AA4438" s="2" t="s">
        <v>191</v>
      </c>
      <c r="AB4438" s="2" t="s">
        <v>190</v>
      </c>
      <c r="AC4438" s="2" t="s">
        <v>40</v>
      </c>
      <c r="AK4438" s="2">
        <f t="shared" si="705"/>
        <v>59.4</v>
      </c>
      <c r="AL4438" s="5">
        <f t="shared" si="706"/>
        <v>0.6</v>
      </c>
    </row>
    <row r="4439" spans="1:38" hidden="1" x14ac:dyDescent="0.2">
      <c r="A4439" s="2">
        <v>2026</v>
      </c>
      <c r="B4439" s="2">
        <v>7</v>
      </c>
      <c r="C4439" s="2" t="s">
        <v>3433</v>
      </c>
      <c r="D4439" s="23" t="s">
        <v>2780</v>
      </c>
      <c r="E4439" s="2" t="s">
        <v>109</v>
      </c>
      <c r="F4439" s="2" t="s">
        <v>39</v>
      </c>
      <c r="L4439" s="2" t="s">
        <v>2444</v>
      </c>
      <c r="M4439" s="2" t="s">
        <v>40</v>
      </c>
      <c r="P4439" s="2" t="s">
        <v>188</v>
      </c>
      <c r="Q4439" s="23" t="s">
        <v>192</v>
      </c>
      <c r="R4439" s="23" t="s">
        <v>191</v>
      </c>
      <c r="S4439" s="21">
        <v>1</v>
      </c>
      <c r="T4439" s="22">
        <v>49.5</v>
      </c>
      <c r="U4439" s="2">
        <f t="shared" si="707"/>
        <v>11.385</v>
      </c>
      <c r="V4439" s="2">
        <f t="shared" si="708"/>
        <v>60.884999999999998</v>
      </c>
      <c r="W4439" s="2">
        <f>T4439*50%</f>
        <v>24.75</v>
      </c>
      <c r="X4439" s="5">
        <f t="shared" si="704"/>
        <v>0.5</v>
      </c>
      <c r="Z4439" s="2" t="s">
        <v>118</v>
      </c>
      <c r="AA4439" s="2" t="s">
        <v>191</v>
      </c>
      <c r="AB4439" s="2" t="s">
        <v>191</v>
      </c>
      <c r="AC4439" s="2" t="s">
        <v>40</v>
      </c>
      <c r="AK4439" s="2">
        <f t="shared" si="705"/>
        <v>24.75</v>
      </c>
      <c r="AL4439" s="5">
        <f t="shared" si="706"/>
        <v>0.5</v>
      </c>
    </row>
    <row r="4440" spans="1:38" hidden="1" x14ac:dyDescent="0.2">
      <c r="A4440" s="2">
        <v>2026</v>
      </c>
      <c r="B4440" s="2">
        <v>7</v>
      </c>
      <c r="C4440" s="2" t="s">
        <v>3433</v>
      </c>
      <c r="D4440" s="23" t="s">
        <v>1578</v>
      </c>
      <c r="E4440" s="2" t="s">
        <v>753</v>
      </c>
      <c r="F4440" s="2" t="s">
        <v>39</v>
      </c>
      <c r="L4440" s="2" t="s">
        <v>462</v>
      </c>
      <c r="M4440" s="2" t="s">
        <v>110</v>
      </c>
      <c r="P4440" s="2" t="s">
        <v>283</v>
      </c>
      <c r="Q4440" s="23" t="s">
        <v>3003</v>
      </c>
      <c r="R4440" s="23" t="s">
        <v>3004</v>
      </c>
      <c r="S4440" s="21">
        <v>1</v>
      </c>
      <c r="T4440" s="22">
        <v>1130.5</v>
      </c>
      <c r="U4440" s="2">
        <f t="shared" si="707"/>
        <v>260.01499999999999</v>
      </c>
      <c r="V4440" s="2">
        <f t="shared" si="708"/>
        <v>1390.5149999999999</v>
      </c>
      <c r="W4440" s="2">
        <v>773.5</v>
      </c>
      <c r="X4440" s="5">
        <f t="shared" si="704"/>
        <v>0.31578947368421051</v>
      </c>
      <c r="Z4440" s="2" t="s">
        <v>105</v>
      </c>
      <c r="AA4440" s="2" t="s">
        <v>182</v>
      </c>
      <c r="AB4440" s="2" t="s">
        <v>120</v>
      </c>
      <c r="AC4440" s="2" t="s">
        <v>1330</v>
      </c>
      <c r="AK4440" s="2">
        <f t="shared" si="705"/>
        <v>357</v>
      </c>
      <c r="AL4440" s="5">
        <f t="shared" si="706"/>
        <v>0.31578947368421051</v>
      </c>
    </row>
    <row r="4441" spans="1:38" hidden="1" x14ac:dyDescent="0.2">
      <c r="A4441" s="2">
        <v>2026</v>
      </c>
      <c r="B4441" s="2">
        <v>7</v>
      </c>
      <c r="C4441" s="2" t="s">
        <v>3433</v>
      </c>
      <c r="D4441" s="23" t="s">
        <v>841</v>
      </c>
      <c r="E4441" s="2" t="s">
        <v>109</v>
      </c>
      <c r="F4441" s="2" t="s">
        <v>842</v>
      </c>
      <c r="G4441" s="2">
        <v>504981285</v>
      </c>
      <c r="H4441" s="2" t="s">
        <v>291</v>
      </c>
      <c r="I4441" s="2" t="s">
        <v>843</v>
      </c>
      <c r="J4441" s="2" t="s">
        <v>844</v>
      </c>
      <c r="K4441" s="2">
        <v>932209225</v>
      </c>
      <c r="L4441" s="2" t="s">
        <v>340</v>
      </c>
      <c r="M4441" s="2" t="s">
        <v>40</v>
      </c>
      <c r="P4441" s="2" t="s">
        <v>188</v>
      </c>
      <c r="Q4441" s="23" t="s">
        <v>189</v>
      </c>
      <c r="R4441" s="23" t="s">
        <v>190</v>
      </c>
      <c r="S4441" s="21">
        <v>1</v>
      </c>
      <c r="T4441" s="22">
        <v>60</v>
      </c>
      <c r="U4441" s="2">
        <f t="shared" si="707"/>
        <v>13.8</v>
      </c>
      <c r="V4441" s="2">
        <f t="shared" si="708"/>
        <v>73.8</v>
      </c>
      <c r="W4441" s="2">
        <f>T4441*40%</f>
        <v>24</v>
      </c>
      <c r="X4441" s="5">
        <f t="shared" si="704"/>
        <v>0.6</v>
      </c>
      <c r="Z4441" s="2" t="s">
        <v>118</v>
      </c>
      <c r="AA4441" s="2" t="s">
        <v>191</v>
      </c>
      <c r="AB4441" s="2" t="s">
        <v>190</v>
      </c>
      <c r="AC4441" s="2" t="s">
        <v>40</v>
      </c>
      <c r="AK4441" s="2">
        <f t="shared" si="705"/>
        <v>36</v>
      </c>
      <c r="AL4441" s="5">
        <f t="shared" si="706"/>
        <v>0.6</v>
      </c>
    </row>
    <row r="4442" spans="1:38" hidden="1" x14ac:dyDescent="0.2">
      <c r="A4442" s="2">
        <v>2026</v>
      </c>
      <c r="B4442" s="2">
        <v>7</v>
      </c>
      <c r="C4442" s="2" t="s">
        <v>3433</v>
      </c>
      <c r="D4442" s="23" t="s">
        <v>841</v>
      </c>
      <c r="E4442" s="2" t="s">
        <v>109</v>
      </c>
      <c r="F4442" s="2" t="s">
        <v>842</v>
      </c>
      <c r="G4442" s="2">
        <v>504981285</v>
      </c>
      <c r="H4442" s="2" t="s">
        <v>291</v>
      </c>
      <c r="I4442" s="2" t="s">
        <v>843</v>
      </c>
      <c r="J4442" s="2" t="s">
        <v>844</v>
      </c>
      <c r="K4442" s="2">
        <v>932209225</v>
      </c>
      <c r="L4442" s="2" t="s">
        <v>340</v>
      </c>
      <c r="M4442" s="2" t="s">
        <v>40</v>
      </c>
      <c r="P4442" s="2" t="s">
        <v>188</v>
      </c>
      <c r="Q4442" s="23" t="s">
        <v>192</v>
      </c>
      <c r="R4442" s="23" t="s">
        <v>191</v>
      </c>
      <c r="S4442" s="21">
        <v>2</v>
      </c>
      <c r="T4442" s="22">
        <v>110</v>
      </c>
      <c r="U4442" s="2">
        <f t="shared" si="707"/>
        <v>25.3</v>
      </c>
      <c r="V4442" s="2">
        <f t="shared" si="708"/>
        <v>135.30000000000001</v>
      </c>
      <c r="W4442" s="2">
        <f>T4442*50%</f>
        <v>55</v>
      </c>
      <c r="X4442" s="5">
        <f t="shared" si="704"/>
        <v>0.5</v>
      </c>
      <c r="Z4442" s="2" t="s">
        <v>118</v>
      </c>
      <c r="AA4442" s="2" t="s">
        <v>191</v>
      </c>
      <c r="AB4442" s="2" t="s">
        <v>191</v>
      </c>
      <c r="AC4442" s="2" t="s">
        <v>40</v>
      </c>
      <c r="AK4442" s="2">
        <f t="shared" si="705"/>
        <v>55</v>
      </c>
      <c r="AL4442" s="5">
        <f t="shared" si="706"/>
        <v>0.5</v>
      </c>
    </row>
    <row r="4443" spans="1:38" hidden="1" x14ac:dyDescent="0.2">
      <c r="A4443" s="2">
        <v>2026</v>
      </c>
      <c r="B4443" s="2">
        <v>7</v>
      </c>
      <c r="C4443" s="2" t="s">
        <v>3433</v>
      </c>
      <c r="D4443" s="23" t="s">
        <v>1627</v>
      </c>
      <c r="E4443" s="2" t="s">
        <v>109</v>
      </c>
      <c r="F4443" s="2" t="s">
        <v>478</v>
      </c>
      <c r="G4443" s="2">
        <v>504161342</v>
      </c>
      <c r="H4443" s="2" t="s">
        <v>291</v>
      </c>
      <c r="I4443" s="2" t="s">
        <v>1628</v>
      </c>
      <c r="J4443" s="2" t="s">
        <v>1629</v>
      </c>
      <c r="L4443" s="2" t="s">
        <v>294</v>
      </c>
      <c r="M4443" s="2" t="s">
        <v>81</v>
      </c>
      <c r="P4443" s="2" t="s">
        <v>73</v>
      </c>
      <c r="Q4443" s="23" t="s">
        <v>307</v>
      </c>
      <c r="R4443" s="23" t="s">
        <v>308</v>
      </c>
      <c r="S4443" s="21">
        <v>1</v>
      </c>
      <c r="T4443" s="22">
        <v>230</v>
      </c>
      <c r="U4443" s="2">
        <f t="shared" si="707"/>
        <v>52.900000000000006</v>
      </c>
      <c r="V4443" s="2">
        <f t="shared" si="708"/>
        <v>282.89999999999998</v>
      </c>
      <c r="W4443" s="2">
        <v>134.57</v>
      </c>
      <c r="X4443" s="5">
        <f t="shared" si="704"/>
        <v>0.41491304347826091</v>
      </c>
      <c r="Z4443" s="2" t="s">
        <v>3233</v>
      </c>
      <c r="AA4443" s="2" t="s">
        <v>76</v>
      </c>
      <c r="AB4443" s="2" t="s">
        <v>77</v>
      </c>
      <c r="AC4443" s="2" t="s">
        <v>78</v>
      </c>
      <c r="AK4443" s="2">
        <f t="shared" si="705"/>
        <v>95.43</v>
      </c>
      <c r="AL4443" s="5">
        <f t="shared" si="706"/>
        <v>0.41491304347826091</v>
      </c>
    </row>
    <row r="4444" spans="1:38" hidden="1" x14ac:dyDescent="0.2">
      <c r="A4444" s="2">
        <v>2026</v>
      </c>
      <c r="B4444" s="2">
        <v>7</v>
      </c>
      <c r="C4444" s="2" t="s">
        <v>3433</v>
      </c>
      <c r="D4444" s="23" t="s">
        <v>1627</v>
      </c>
      <c r="E4444" s="2" t="s">
        <v>109</v>
      </c>
      <c r="F4444" s="2" t="s">
        <v>478</v>
      </c>
      <c r="G4444" s="2">
        <v>504161342</v>
      </c>
      <c r="H4444" s="2" t="s">
        <v>291</v>
      </c>
      <c r="I4444" s="2" t="s">
        <v>1628</v>
      </c>
      <c r="J4444" s="2" t="s">
        <v>1629</v>
      </c>
      <c r="L4444" s="2" t="s">
        <v>294</v>
      </c>
      <c r="M4444" s="2" t="s">
        <v>81</v>
      </c>
      <c r="P4444" s="2" t="s">
        <v>94</v>
      </c>
      <c r="Q4444" s="23" t="s">
        <v>95</v>
      </c>
      <c r="R4444" s="23" t="s">
        <v>96</v>
      </c>
      <c r="S4444" s="21">
        <v>1</v>
      </c>
      <c r="T4444" s="22">
        <v>1.48</v>
      </c>
      <c r="U4444" s="2">
        <f t="shared" si="707"/>
        <v>0.34040000000000004</v>
      </c>
      <c r="V4444" s="2">
        <f t="shared" si="708"/>
        <v>1.8204</v>
      </c>
      <c r="W4444" s="2">
        <v>1.48</v>
      </c>
      <c r="X4444" s="5">
        <f t="shared" si="704"/>
        <v>0</v>
      </c>
      <c r="Z4444" s="2" t="s">
        <v>3233</v>
      </c>
      <c r="AA4444" s="2" t="s">
        <v>97</v>
      </c>
      <c r="AB4444" s="2" t="s">
        <v>77</v>
      </c>
      <c r="AC4444" s="2" t="s">
        <v>94</v>
      </c>
      <c r="AK4444" s="2">
        <f t="shared" si="705"/>
        <v>0</v>
      </c>
      <c r="AL4444" s="5">
        <f t="shared" si="706"/>
        <v>0</v>
      </c>
    </row>
    <row r="4445" spans="1:38" hidden="1" x14ac:dyDescent="0.2">
      <c r="A4445" s="2">
        <v>2026</v>
      </c>
      <c r="B4445" s="2">
        <v>7</v>
      </c>
      <c r="C4445" s="2" t="s">
        <v>3433</v>
      </c>
      <c r="D4445" s="2" t="s">
        <v>3434</v>
      </c>
      <c r="M4445" s="2" t="s">
        <v>81</v>
      </c>
      <c r="P4445" s="2" t="s">
        <v>73</v>
      </c>
      <c r="Q4445" s="2" t="s">
        <v>74</v>
      </c>
      <c r="R4445" s="2" t="s">
        <v>75</v>
      </c>
      <c r="S4445" s="13">
        <v>1</v>
      </c>
      <c r="T4445" s="14">
        <v>230</v>
      </c>
      <c r="U4445" s="2">
        <f>T4445*23%</f>
        <v>52.900000000000006</v>
      </c>
      <c r="V4445" s="2">
        <f t="shared" si="708"/>
        <v>282.89999999999998</v>
      </c>
      <c r="W4445" s="2">
        <v>133.4614</v>
      </c>
      <c r="X4445" s="5">
        <f t="shared" si="704"/>
        <v>0.4197330434782609</v>
      </c>
      <c r="Z4445" s="2" t="s">
        <v>3233</v>
      </c>
      <c r="AA4445" s="2" t="s">
        <v>76</v>
      </c>
      <c r="AB4445" s="2" t="s">
        <v>77</v>
      </c>
      <c r="AC4445" s="2" t="s">
        <v>78</v>
      </c>
      <c r="AK4445" s="2">
        <f t="shared" ref="AK4445:AK4464" si="709">T4445-W4445</f>
        <v>96.538600000000002</v>
      </c>
      <c r="AL4445" s="5">
        <f t="shared" ref="AL4445:AL4464" si="710">(T4445-W4445)/T4445</f>
        <v>0.4197330434782609</v>
      </c>
    </row>
    <row r="4446" spans="1:38" hidden="1" x14ac:dyDescent="0.2">
      <c r="A4446" s="2">
        <v>2026</v>
      </c>
      <c r="B4446" s="2">
        <v>7</v>
      </c>
      <c r="C4446" s="2" t="s">
        <v>3433</v>
      </c>
      <c r="D4446" s="2" t="s">
        <v>3434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ref="U4446:U4464" si="711">T4446*23%</f>
        <v>0.34040000000000004</v>
      </c>
      <c r="V4446" s="2">
        <f t="shared" ref="V4446:V4464" si="712">T4446+U4446</f>
        <v>1.8204</v>
      </c>
      <c r="W4446" s="2">
        <v>1.48</v>
      </c>
      <c r="X4446" s="5">
        <f t="shared" si="704"/>
        <v>0</v>
      </c>
      <c r="Z4446" s="2" t="s">
        <v>3233</v>
      </c>
      <c r="AA4446" s="2" t="s">
        <v>97</v>
      </c>
      <c r="AB4446" s="2" t="s">
        <v>77</v>
      </c>
      <c r="AC4446" s="2" t="s">
        <v>94</v>
      </c>
      <c r="AK4446" s="2">
        <f t="shared" si="709"/>
        <v>0</v>
      </c>
      <c r="AL4446" s="5">
        <f t="shared" si="710"/>
        <v>0</v>
      </c>
    </row>
    <row r="4447" spans="1:38" hidden="1" x14ac:dyDescent="0.2">
      <c r="A4447" s="2">
        <v>2026</v>
      </c>
      <c r="B4447" s="2">
        <v>7</v>
      </c>
      <c r="C4447" s="2" t="s">
        <v>3433</v>
      </c>
      <c r="D4447" s="2" t="s">
        <v>2584</v>
      </c>
      <c r="E4447" s="2" t="s">
        <v>184</v>
      </c>
      <c r="F4447" s="2" t="s">
        <v>2585</v>
      </c>
      <c r="G4447" s="2">
        <v>515259144</v>
      </c>
      <c r="H4447" s="2" t="s">
        <v>81</v>
      </c>
      <c r="I4447" s="2" t="s">
        <v>157</v>
      </c>
      <c r="J4447" s="2" t="s">
        <v>2586</v>
      </c>
      <c r="K4447" s="2">
        <v>968626165</v>
      </c>
      <c r="L4447" s="2" t="s">
        <v>100</v>
      </c>
      <c r="M4447" s="2" t="s">
        <v>81</v>
      </c>
      <c r="P4447" s="2" t="s">
        <v>1040</v>
      </c>
      <c r="Q4447" s="2" t="s">
        <v>2895</v>
      </c>
      <c r="R4447" s="2" t="s">
        <v>2896</v>
      </c>
      <c r="S4447" s="13">
        <v>1</v>
      </c>
      <c r="T4447" s="14">
        <v>223.1</v>
      </c>
      <c r="U4447" s="2">
        <f t="shared" si="711"/>
        <v>51.313000000000002</v>
      </c>
      <c r="V4447" s="2">
        <f t="shared" si="712"/>
        <v>274.41300000000001</v>
      </c>
      <c r="W4447" s="2">
        <v>141.16</v>
      </c>
      <c r="X4447" s="5">
        <f t="shared" si="704"/>
        <v>0.36727924697445091</v>
      </c>
      <c r="Z4447" s="2" t="s">
        <v>3233</v>
      </c>
      <c r="AA4447" s="2" t="s">
        <v>76</v>
      </c>
      <c r="AB4447" s="2" t="s">
        <v>77</v>
      </c>
      <c r="AC4447" s="2" t="s">
        <v>1040</v>
      </c>
      <c r="AK4447" s="2">
        <f t="shared" si="709"/>
        <v>81.94</v>
      </c>
      <c r="AL4447" s="5">
        <f t="shared" si="710"/>
        <v>0.36727924697445091</v>
      </c>
    </row>
    <row r="4448" spans="1:38" hidden="1" x14ac:dyDescent="0.2">
      <c r="A4448" s="2">
        <v>2026</v>
      </c>
      <c r="B4448" s="2">
        <v>7</v>
      </c>
      <c r="C4448" s="2" t="s">
        <v>3433</v>
      </c>
      <c r="D4448" s="2" t="s">
        <v>2584</v>
      </c>
      <c r="E4448" s="2" t="s">
        <v>184</v>
      </c>
      <c r="F4448" s="2" t="s">
        <v>2585</v>
      </c>
      <c r="G4448" s="2">
        <v>515259144</v>
      </c>
      <c r="H4448" s="2" t="s">
        <v>81</v>
      </c>
      <c r="I4448" s="2" t="s">
        <v>157</v>
      </c>
      <c r="J4448" s="2" t="s">
        <v>2586</v>
      </c>
      <c r="K4448" s="2">
        <v>968626165</v>
      </c>
      <c r="L4448" s="2" t="s">
        <v>100</v>
      </c>
      <c r="M4448" s="2" t="s">
        <v>81</v>
      </c>
      <c r="P4448" s="2" t="s">
        <v>94</v>
      </c>
      <c r="Q4448" s="2" t="s">
        <v>95</v>
      </c>
      <c r="R4448" s="2" t="s">
        <v>96</v>
      </c>
      <c r="S4448" s="13">
        <v>1</v>
      </c>
      <c r="T4448" s="14">
        <v>1.48</v>
      </c>
      <c r="U4448" s="2">
        <f t="shared" si="711"/>
        <v>0.34040000000000004</v>
      </c>
      <c r="V4448" s="2">
        <f t="shared" si="712"/>
        <v>1.8204</v>
      </c>
      <c r="W4448" s="2">
        <v>1.48</v>
      </c>
      <c r="X4448" s="5">
        <f t="shared" si="704"/>
        <v>0</v>
      </c>
      <c r="Z4448" s="2" t="s">
        <v>3233</v>
      </c>
      <c r="AA4448" s="2" t="s">
        <v>97</v>
      </c>
      <c r="AB4448" s="2" t="s">
        <v>77</v>
      </c>
      <c r="AC4448" s="2" t="s">
        <v>94</v>
      </c>
      <c r="AK4448" s="2">
        <f t="shared" si="709"/>
        <v>0</v>
      </c>
      <c r="AL4448" s="5">
        <f t="shared" si="710"/>
        <v>0</v>
      </c>
    </row>
    <row r="4449" spans="1:38" hidden="1" x14ac:dyDescent="0.2">
      <c r="A4449" s="2">
        <v>2026</v>
      </c>
      <c r="B4449" s="2">
        <v>7</v>
      </c>
      <c r="C4449" s="2" t="s">
        <v>3433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43</v>
      </c>
      <c r="Q4449" s="2" t="s">
        <v>51</v>
      </c>
      <c r="R4449" s="2" t="s">
        <v>52</v>
      </c>
      <c r="S4449" s="13">
        <v>1</v>
      </c>
      <c r="T4449" s="14">
        <v>21</v>
      </c>
      <c r="U4449" s="2">
        <f t="shared" si="711"/>
        <v>4.83</v>
      </c>
      <c r="V4449" s="2">
        <f t="shared" si="712"/>
        <v>25.83</v>
      </c>
      <c r="W4449" s="2">
        <f>14.4*S4449</f>
        <v>14.4</v>
      </c>
      <c r="X4449" s="5">
        <f t="shared" si="704"/>
        <v>0.31428571428571428</v>
      </c>
      <c r="Z4449" s="2" t="s">
        <v>3233</v>
      </c>
      <c r="AA4449" s="2" t="s">
        <v>46</v>
      </c>
      <c r="AB4449" s="2" t="s">
        <v>47</v>
      </c>
      <c r="AC4449" s="2" t="s">
        <v>48</v>
      </c>
      <c r="AK4449" s="2">
        <f t="shared" si="709"/>
        <v>6.6</v>
      </c>
      <c r="AL4449" s="5">
        <f t="shared" si="710"/>
        <v>0.31428571428571428</v>
      </c>
    </row>
    <row r="4450" spans="1:38" hidden="1" x14ac:dyDescent="0.2">
      <c r="A4450" s="2">
        <v>2026</v>
      </c>
      <c r="B4450" s="2">
        <v>7</v>
      </c>
      <c r="C4450" s="2" t="s">
        <v>3433</v>
      </c>
      <c r="D4450" s="2" t="s">
        <v>1010</v>
      </c>
      <c r="E4450" s="2" t="s">
        <v>109</v>
      </c>
      <c r="F4450" s="2" t="s">
        <v>39</v>
      </c>
      <c r="L4450" s="2" t="s">
        <v>419</v>
      </c>
      <c r="M4450" s="2" t="s">
        <v>41</v>
      </c>
      <c r="P4450" s="2" t="s">
        <v>43</v>
      </c>
      <c r="Q4450" s="2" t="s">
        <v>55</v>
      </c>
      <c r="R4450" s="2" t="s">
        <v>56</v>
      </c>
      <c r="S4450" s="13">
        <v>2</v>
      </c>
      <c r="T4450" s="14">
        <v>36</v>
      </c>
      <c r="U4450" s="2">
        <f t="shared" si="711"/>
        <v>8.2800000000000011</v>
      </c>
      <c r="V4450" s="2">
        <f t="shared" si="712"/>
        <v>44.28</v>
      </c>
      <c r="W4450" s="2">
        <f>10.6*S4450</f>
        <v>21.2</v>
      </c>
      <c r="X4450" s="5">
        <f t="shared" si="704"/>
        <v>0.41111111111111115</v>
      </c>
      <c r="Z4450" s="2" t="s">
        <v>3233</v>
      </c>
      <c r="AA4450" s="2" t="s">
        <v>46</v>
      </c>
      <c r="AB4450" s="2" t="s">
        <v>57</v>
      </c>
      <c r="AC4450" s="2" t="s">
        <v>58</v>
      </c>
      <c r="AK4450" s="2">
        <f t="shared" si="709"/>
        <v>14.8</v>
      </c>
      <c r="AL4450" s="5">
        <f t="shared" si="710"/>
        <v>0.41111111111111115</v>
      </c>
    </row>
    <row r="4451" spans="1:38" hidden="1" x14ac:dyDescent="0.2">
      <c r="A4451" s="2">
        <v>2026</v>
      </c>
      <c r="B4451" s="2">
        <v>7</v>
      </c>
      <c r="C4451" s="2" t="s">
        <v>3433</v>
      </c>
      <c r="D4451" s="2" t="s">
        <v>1010</v>
      </c>
      <c r="E4451" s="2" t="s">
        <v>109</v>
      </c>
      <c r="F4451" s="2" t="s">
        <v>39</v>
      </c>
      <c r="L4451" s="2" t="s">
        <v>419</v>
      </c>
      <c r="M4451" s="2" t="s">
        <v>41</v>
      </c>
      <c r="P4451" s="2" t="s">
        <v>170</v>
      </c>
      <c r="Q4451" s="2" t="s">
        <v>171</v>
      </c>
      <c r="R4451" s="2" t="s">
        <v>171</v>
      </c>
      <c r="S4451" s="13">
        <v>1</v>
      </c>
      <c r="T4451" s="14">
        <v>8</v>
      </c>
      <c r="U4451" s="2">
        <f t="shared" si="711"/>
        <v>1.84</v>
      </c>
      <c r="V4451" s="2">
        <f t="shared" si="712"/>
        <v>9.84</v>
      </c>
      <c r="X4451" s="5">
        <f t="shared" si="704"/>
        <v>1</v>
      </c>
      <c r="Z4451" s="2" t="s">
        <v>170</v>
      </c>
      <c r="AA4451" s="2" t="s">
        <v>170</v>
      </c>
      <c r="AK4451" s="2">
        <f t="shared" si="709"/>
        <v>8</v>
      </c>
      <c r="AL4451" s="5">
        <f t="shared" si="710"/>
        <v>1</v>
      </c>
    </row>
    <row r="4452" spans="1:38" hidden="1" x14ac:dyDescent="0.2">
      <c r="A4452" s="2">
        <v>2026</v>
      </c>
      <c r="B4452" s="2">
        <v>7</v>
      </c>
      <c r="C4452" s="2" t="s">
        <v>3433</v>
      </c>
      <c r="D4452" s="2" t="s">
        <v>434</v>
      </c>
      <c r="E4452" s="2" t="s">
        <v>38</v>
      </c>
      <c r="F4452" s="2" t="s">
        <v>39</v>
      </c>
      <c r="L4452" s="2" t="s">
        <v>100</v>
      </c>
      <c r="M4452" s="2" t="s">
        <v>41</v>
      </c>
      <c r="P4452" s="2" t="s">
        <v>283</v>
      </c>
      <c r="Q4452" s="2" t="s">
        <v>400</v>
      </c>
      <c r="R4452" s="2" t="s">
        <v>401</v>
      </c>
      <c r="S4452" s="13">
        <v>20</v>
      </c>
      <c r="T4452" s="14">
        <v>400</v>
      </c>
      <c r="U4452" s="2">
        <f t="shared" si="711"/>
        <v>92</v>
      </c>
      <c r="V4452" s="2">
        <f t="shared" si="712"/>
        <v>492</v>
      </c>
      <c r="W4452" s="2">
        <f>14.5099*S4452</f>
        <v>290.19799999999998</v>
      </c>
      <c r="X4452" s="5">
        <f t="shared" si="704"/>
        <v>0.27450500000000005</v>
      </c>
      <c r="Z4452" s="2" t="s">
        <v>3233</v>
      </c>
      <c r="AA4452" s="2" t="s">
        <v>46</v>
      </c>
      <c r="AB4452" s="2" t="s">
        <v>61</v>
      </c>
      <c r="AC4452" s="2" t="s">
        <v>3339</v>
      </c>
      <c r="AK4452" s="2">
        <f t="shared" si="709"/>
        <v>109.80200000000002</v>
      </c>
      <c r="AL4452" s="5">
        <f t="shared" si="710"/>
        <v>0.27450500000000005</v>
      </c>
    </row>
    <row r="4453" spans="1:38" hidden="1" x14ac:dyDescent="0.2">
      <c r="A4453" s="2">
        <v>2026</v>
      </c>
      <c r="B4453" s="2">
        <v>7</v>
      </c>
      <c r="C4453" s="2" t="s">
        <v>3433</v>
      </c>
      <c r="D4453" s="2" t="s">
        <v>440</v>
      </c>
      <c r="M4453" s="2" t="s">
        <v>41</v>
      </c>
      <c r="P4453" s="2" t="s">
        <v>43</v>
      </c>
      <c r="Q4453" s="2" t="s">
        <v>49</v>
      </c>
      <c r="R4453" s="2" t="s">
        <v>50</v>
      </c>
      <c r="S4453" s="13">
        <v>4</v>
      </c>
      <c r="T4453" s="14">
        <v>52</v>
      </c>
      <c r="U4453" s="2">
        <f t="shared" si="711"/>
        <v>11.96</v>
      </c>
      <c r="V4453" s="2">
        <f t="shared" si="712"/>
        <v>63.96</v>
      </c>
      <c r="W4453" s="2">
        <f>6.6267*S4453</f>
        <v>26.506799999999998</v>
      </c>
      <c r="X4453" s="5">
        <f t="shared" si="704"/>
        <v>0.49025384615384621</v>
      </c>
      <c r="Z4453" s="2" t="s">
        <v>3233</v>
      </c>
      <c r="AA4453" s="2" t="s">
        <v>46</v>
      </c>
      <c r="AB4453" s="2" t="s">
        <v>47</v>
      </c>
      <c r="AC4453" s="2" t="s">
        <v>48</v>
      </c>
      <c r="AK4453" s="2">
        <f t="shared" si="709"/>
        <v>25.493200000000002</v>
      </c>
      <c r="AL4453" s="5">
        <f t="shared" si="710"/>
        <v>0.49025384615384621</v>
      </c>
    </row>
    <row r="4454" spans="1:38" hidden="1" x14ac:dyDescent="0.2">
      <c r="A4454" s="2">
        <v>2026</v>
      </c>
      <c r="B4454" s="2">
        <v>7</v>
      </c>
      <c r="C4454" s="2" t="s">
        <v>3433</v>
      </c>
      <c r="D4454" s="2" t="s">
        <v>440</v>
      </c>
      <c r="M4454" s="2" t="s">
        <v>41</v>
      </c>
      <c r="P4454" s="2" t="s">
        <v>43</v>
      </c>
      <c r="Q4454" s="2" t="s">
        <v>51</v>
      </c>
      <c r="R4454" s="2" t="s">
        <v>52</v>
      </c>
      <c r="S4454" s="13">
        <v>1</v>
      </c>
      <c r="T4454" s="14">
        <v>21</v>
      </c>
      <c r="U4454" s="2">
        <f t="shared" si="711"/>
        <v>4.83</v>
      </c>
      <c r="V4454" s="2">
        <f t="shared" si="712"/>
        <v>25.83</v>
      </c>
      <c r="W4454" s="2">
        <f>14.4*S4454</f>
        <v>14.4</v>
      </c>
      <c r="X4454" s="5">
        <f t="shared" si="704"/>
        <v>0.31428571428571428</v>
      </c>
      <c r="Z4454" s="2" t="s">
        <v>3233</v>
      </c>
      <c r="AA4454" s="2" t="s">
        <v>46</v>
      </c>
      <c r="AB4454" s="2" t="s">
        <v>47</v>
      </c>
      <c r="AC4454" s="2" t="s">
        <v>48</v>
      </c>
      <c r="AK4454" s="2">
        <f t="shared" si="709"/>
        <v>6.6</v>
      </c>
      <c r="AL4454" s="5">
        <f t="shared" si="710"/>
        <v>0.31428571428571428</v>
      </c>
    </row>
    <row r="4455" spans="1:38" hidden="1" x14ac:dyDescent="0.2">
      <c r="A4455" s="2">
        <v>2026</v>
      </c>
      <c r="B4455" s="2">
        <v>7</v>
      </c>
      <c r="C4455" s="2" t="s">
        <v>3433</v>
      </c>
      <c r="D4455" s="2" t="s">
        <v>817</v>
      </c>
      <c r="E4455" s="2" t="s">
        <v>38</v>
      </c>
      <c r="F4455" s="2" t="s">
        <v>39</v>
      </c>
      <c r="L4455" s="2" t="s">
        <v>481</v>
      </c>
      <c r="M4455" s="2" t="s">
        <v>81</v>
      </c>
      <c r="P4455" s="2" t="s">
        <v>1040</v>
      </c>
      <c r="Q4455" s="2" t="s">
        <v>3435</v>
      </c>
      <c r="R4455" s="2" t="s">
        <v>3436</v>
      </c>
      <c r="S4455" s="13">
        <v>1</v>
      </c>
      <c r="T4455" s="14">
        <v>287</v>
      </c>
      <c r="U4455" s="2">
        <f t="shared" si="711"/>
        <v>66.010000000000005</v>
      </c>
      <c r="V4455" s="2">
        <f t="shared" si="712"/>
        <v>353.01</v>
      </c>
      <c r="W4455" s="2">
        <v>157.85</v>
      </c>
      <c r="X4455" s="5">
        <f t="shared" si="704"/>
        <v>0.45</v>
      </c>
      <c r="Z4455" s="2" t="s">
        <v>3233</v>
      </c>
      <c r="AA4455" s="2" t="s">
        <v>76</v>
      </c>
      <c r="AB4455" s="2" t="s">
        <v>77</v>
      </c>
      <c r="AC4455" s="2" t="s">
        <v>78</v>
      </c>
      <c r="AK4455" s="2">
        <f t="shared" si="709"/>
        <v>129.15</v>
      </c>
      <c r="AL4455" s="5">
        <f t="shared" si="710"/>
        <v>0.45</v>
      </c>
    </row>
    <row r="4456" spans="1:38" hidden="1" x14ac:dyDescent="0.2">
      <c r="A4456" s="2">
        <v>2026</v>
      </c>
      <c r="B4456" s="2">
        <v>7</v>
      </c>
      <c r="C4456" s="2" t="s">
        <v>3433</v>
      </c>
      <c r="D4456" s="2" t="s">
        <v>817</v>
      </c>
      <c r="E4456" s="2" t="s">
        <v>38</v>
      </c>
      <c r="F4456" s="2" t="s">
        <v>39</v>
      </c>
      <c r="L4456" s="2" t="s">
        <v>481</v>
      </c>
      <c r="M4456" s="2" t="s">
        <v>81</v>
      </c>
      <c r="P4456" s="2" t="s">
        <v>94</v>
      </c>
      <c r="Q4456" s="2" t="s">
        <v>95</v>
      </c>
      <c r="R4456" s="2" t="s">
        <v>96</v>
      </c>
      <c r="S4456" s="13">
        <v>1</v>
      </c>
      <c r="T4456" s="14">
        <v>1.48</v>
      </c>
      <c r="U4456" s="2">
        <f t="shared" si="711"/>
        <v>0.34040000000000004</v>
      </c>
      <c r="V4456" s="2">
        <f t="shared" si="712"/>
        <v>1.8204</v>
      </c>
      <c r="W4456" s="2">
        <v>1.48</v>
      </c>
      <c r="X4456" s="5">
        <f t="shared" si="704"/>
        <v>0</v>
      </c>
      <c r="Z4456" s="2" t="s">
        <v>3233</v>
      </c>
      <c r="AA4456" s="2" t="s">
        <v>97</v>
      </c>
      <c r="AB4456" s="2" t="s">
        <v>77</v>
      </c>
      <c r="AC4456" s="2" t="s">
        <v>94</v>
      </c>
      <c r="AK4456" s="2">
        <f t="shared" si="709"/>
        <v>0</v>
      </c>
      <c r="AL4456" s="5">
        <f t="shared" si="710"/>
        <v>0</v>
      </c>
    </row>
    <row r="4457" spans="1:38" hidden="1" x14ac:dyDescent="0.2">
      <c r="A4457" s="2">
        <v>2026</v>
      </c>
      <c r="B4457" s="2">
        <v>7</v>
      </c>
      <c r="C4457" s="2" t="s">
        <v>3433</v>
      </c>
      <c r="D4457" s="2" t="s">
        <v>2149</v>
      </c>
      <c r="I4457" s="2" t="s">
        <v>316</v>
      </c>
      <c r="L4457" s="2" t="s">
        <v>100</v>
      </c>
      <c r="M4457" s="2" t="s">
        <v>81</v>
      </c>
      <c r="P4457" s="2" t="s">
        <v>1040</v>
      </c>
      <c r="Q4457" s="2" t="s">
        <v>3437</v>
      </c>
      <c r="R4457" s="2" t="s">
        <v>3438</v>
      </c>
      <c r="S4457" s="13">
        <v>1</v>
      </c>
      <c r="T4457" s="14">
        <v>390</v>
      </c>
      <c r="U4457" s="2">
        <f t="shared" si="711"/>
        <v>89.7</v>
      </c>
      <c r="V4457" s="2">
        <f t="shared" si="712"/>
        <v>479.7</v>
      </c>
      <c r="W4457" s="2">
        <v>217</v>
      </c>
      <c r="X4457" s="5">
        <f t="shared" si="704"/>
        <v>0.44358974358974357</v>
      </c>
      <c r="Z4457" s="2" t="s">
        <v>3233</v>
      </c>
      <c r="AA4457" s="2" t="s">
        <v>76</v>
      </c>
      <c r="AB4457" s="2" t="s">
        <v>77</v>
      </c>
      <c r="AC4457" s="2" t="s">
        <v>1040</v>
      </c>
      <c r="AK4457" s="2">
        <f t="shared" si="709"/>
        <v>173</v>
      </c>
      <c r="AL4457" s="5">
        <f t="shared" si="710"/>
        <v>0.44358974358974357</v>
      </c>
    </row>
    <row r="4458" spans="1:38" hidden="1" x14ac:dyDescent="0.2">
      <c r="A4458" s="2">
        <v>2026</v>
      </c>
      <c r="B4458" s="2">
        <v>7</v>
      </c>
      <c r="C4458" s="2" t="s">
        <v>3433</v>
      </c>
      <c r="D4458" s="2" t="s">
        <v>2149</v>
      </c>
      <c r="I4458" s="2" t="s">
        <v>316</v>
      </c>
      <c r="L4458" s="2" t="s">
        <v>100</v>
      </c>
      <c r="M4458" s="2" t="s">
        <v>81</v>
      </c>
      <c r="P4458" s="2" t="s">
        <v>170</v>
      </c>
      <c r="Q4458" s="2" t="s">
        <v>171</v>
      </c>
      <c r="R4458" s="2" t="s">
        <v>171</v>
      </c>
      <c r="S4458" s="13">
        <v>1</v>
      </c>
      <c r="T4458" s="14">
        <v>15</v>
      </c>
      <c r="U4458" s="2">
        <f t="shared" si="711"/>
        <v>3.45</v>
      </c>
      <c r="V4458" s="2">
        <f t="shared" si="712"/>
        <v>18.45</v>
      </c>
      <c r="W4458" s="2">
        <v>28</v>
      </c>
      <c r="X4458" s="5">
        <f t="shared" si="704"/>
        <v>-0.8666666666666667</v>
      </c>
      <c r="Z4458" s="2" t="s">
        <v>170</v>
      </c>
      <c r="AA4458" s="2" t="s">
        <v>170</v>
      </c>
      <c r="AK4458" s="2">
        <f t="shared" si="709"/>
        <v>-13</v>
      </c>
      <c r="AL4458" s="5">
        <f t="shared" si="710"/>
        <v>-0.8666666666666667</v>
      </c>
    </row>
    <row r="4459" spans="1:38" hidden="1" x14ac:dyDescent="0.2">
      <c r="A4459" s="2">
        <v>2026</v>
      </c>
      <c r="B4459" s="2">
        <v>7</v>
      </c>
      <c r="C4459" s="2" t="s">
        <v>3433</v>
      </c>
      <c r="D4459" s="2" t="s">
        <v>2149</v>
      </c>
      <c r="I4459" s="2" t="s">
        <v>316</v>
      </c>
      <c r="L4459" s="2" t="s">
        <v>100</v>
      </c>
      <c r="M4459" s="2" t="s">
        <v>81</v>
      </c>
      <c r="P4459" s="2" t="s">
        <v>94</v>
      </c>
      <c r="Q4459" s="2" t="s">
        <v>95</v>
      </c>
      <c r="R4459" s="2" t="s">
        <v>96</v>
      </c>
      <c r="S4459" s="13">
        <v>1</v>
      </c>
      <c r="T4459" s="14">
        <v>1.48</v>
      </c>
      <c r="U4459" s="2">
        <f t="shared" si="711"/>
        <v>0.34040000000000004</v>
      </c>
      <c r="V4459" s="2">
        <f t="shared" si="712"/>
        <v>1.8204</v>
      </c>
      <c r="W4459" s="2">
        <v>1.48</v>
      </c>
      <c r="X4459" s="5">
        <f t="shared" si="704"/>
        <v>0</v>
      </c>
      <c r="Z4459" s="2" t="s">
        <v>3233</v>
      </c>
      <c r="AA4459" s="2" t="s">
        <v>97</v>
      </c>
      <c r="AB4459" s="2" t="s">
        <v>77</v>
      </c>
      <c r="AC4459" s="2" t="s">
        <v>94</v>
      </c>
      <c r="AK4459" s="2">
        <f t="shared" si="709"/>
        <v>0</v>
      </c>
      <c r="AL4459" s="5">
        <f t="shared" si="710"/>
        <v>0</v>
      </c>
    </row>
    <row r="4460" spans="1:38" hidden="1" x14ac:dyDescent="0.2">
      <c r="A4460" s="2">
        <v>2026</v>
      </c>
      <c r="B4460" s="2">
        <v>7</v>
      </c>
      <c r="C4460" s="2" t="s">
        <v>3433</v>
      </c>
      <c r="D4460" s="2" t="s">
        <v>2565</v>
      </c>
      <c r="M4460" s="2" t="s">
        <v>81</v>
      </c>
      <c r="P4460" s="2" t="s">
        <v>1040</v>
      </c>
      <c r="Q4460" s="2" t="s">
        <v>3439</v>
      </c>
      <c r="R4460" s="2" t="s">
        <v>3440</v>
      </c>
      <c r="S4460" s="13">
        <v>4</v>
      </c>
      <c r="T4460" s="14">
        <v>569.1</v>
      </c>
      <c r="U4460" s="2">
        <f t="shared" si="711"/>
        <v>130.893</v>
      </c>
      <c r="V4460" s="2">
        <f t="shared" si="712"/>
        <v>699.99300000000005</v>
      </c>
      <c r="W4460" s="2">
        <f>86.81*S4460</f>
        <v>347.24</v>
      </c>
      <c r="X4460" s="5">
        <f t="shared" si="704"/>
        <v>0.38984361272184154</v>
      </c>
      <c r="Z4460" s="2" t="s">
        <v>3233</v>
      </c>
      <c r="AA4460" s="2" t="s">
        <v>1043</v>
      </c>
      <c r="AB4460" s="2" t="s">
        <v>1273</v>
      </c>
      <c r="AC4460" s="2" t="s">
        <v>1040</v>
      </c>
      <c r="AK4460" s="2">
        <f t="shared" si="709"/>
        <v>221.86</v>
      </c>
      <c r="AL4460" s="5">
        <f t="shared" si="710"/>
        <v>0.38984361272184154</v>
      </c>
    </row>
    <row r="4461" spans="1:38" hidden="1" x14ac:dyDescent="0.2">
      <c r="A4461" s="2">
        <v>2026</v>
      </c>
      <c r="B4461" s="2">
        <v>7</v>
      </c>
      <c r="C4461" s="2" t="s">
        <v>3433</v>
      </c>
      <c r="D4461" s="2" t="s">
        <v>1298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1299</v>
      </c>
      <c r="L4461" s="2" t="s">
        <v>340</v>
      </c>
      <c r="M4461" s="2" t="s">
        <v>81</v>
      </c>
      <c r="P4461" s="2" t="s">
        <v>73</v>
      </c>
      <c r="Q4461" s="2" t="s">
        <v>557</v>
      </c>
      <c r="R4461" s="2" t="s">
        <v>382</v>
      </c>
      <c r="S4461" s="13">
        <v>2</v>
      </c>
      <c r="T4461" s="14">
        <v>485</v>
      </c>
      <c r="U4461" s="2">
        <f t="shared" si="711"/>
        <v>111.55000000000001</v>
      </c>
      <c r="V4461" s="2">
        <f t="shared" si="712"/>
        <v>596.54999999999995</v>
      </c>
      <c r="W4461" s="2">
        <f>150.9766*S4461</f>
        <v>301.95319999999998</v>
      </c>
      <c r="X4461" s="5">
        <f t="shared" si="704"/>
        <v>0.37741608247422687</v>
      </c>
      <c r="Z4461" s="2" t="s">
        <v>3233</v>
      </c>
      <c r="AA4461" s="2" t="s">
        <v>76</v>
      </c>
      <c r="AB4461" s="2" t="s">
        <v>77</v>
      </c>
      <c r="AC4461" s="2" t="s">
        <v>78</v>
      </c>
      <c r="AK4461" s="2">
        <f t="shared" si="709"/>
        <v>183.04680000000002</v>
      </c>
      <c r="AL4461" s="5">
        <f t="shared" si="710"/>
        <v>0.37741608247422687</v>
      </c>
    </row>
    <row r="4462" spans="1:38" hidden="1" x14ac:dyDescent="0.2">
      <c r="A4462" s="2">
        <v>2026</v>
      </c>
      <c r="B4462" s="2">
        <v>7</v>
      </c>
      <c r="C4462" s="2" t="s">
        <v>3433</v>
      </c>
      <c r="D4462" s="2" t="s">
        <v>1298</v>
      </c>
      <c r="E4462" s="2" t="s">
        <v>184</v>
      </c>
      <c r="F4462" s="2" t="s">
        <v>367</v>
      </c>
      <c r="G4462" s="2">
        <v>500625654</v>
      </c>
      <c r="H4462" s="2" t="s">
        <v>291</v>
      </c>
      <c r="I4462" s="2" t="s">
        <v>340</v>
      </c>
      <c r="J4462" s="2" t="s">
        <v>1299</v>
      </c>
      <c r="L4462" s="2" t="s">
        <v>340</v>
      </c>
      <c r="M4462" s="2" t="s">
        <v>81</v>
      </c>
      <c r="P4462" s="2" t="s">
        <v>1040</v>
      </c>
      <c r="Q4462" s="2" t="s">
        <v>3441</v>
      </c>
      <c r="R4462" s="2" t="s">
        <v>3442</v>
      </c>
      <c r="S4462" s="13">
        <v>1</v>
      </c>
      <c r="T4462" s="14">
        <v>232.8</v>
      </c>
      <c r="U4462" s="2">
        <f t="shared" si="711"/>
        <v>53.544000000000004</v>
      </c>
      <c r="V4462" s="2">
        <f t="shared" si="712"/>
        <v>286.34399999999999</v>
      </c>
      <c r="W4462" s="2">
        <v>128.99</v>
      </c>
      <c r="X4462" s="5">
        <f t="shared" si="704"/>
        <v>0.44591924398625427</v>
      </c>
      <c r="Z4462" s="2" t="s">
        <v>3233</v>
      </c>
      <c r="AA4462" s="2" t="s">
        <v>76</v>
      </c>
      <c r="AB4462" s="2" t="s">
        <v>77</v>
      </c>
      <c r="AC4462" s="2" t="s">
        <v>1040</v>
      </c>
      <c r="AK4462" s="2">
        <f t="shared" si="709"/>
        <v>103.81</v>
      </c>
      <c r="AL4462" s="5">
        <f t="shared" si="710"/>
        <v>0.44591924398625427</v>
      </c>
    </row>
    <row r="4463" spans="1:38" hidden="1" x14ac:dyDescent="0.2">
      <c r="A4463" s="2">
        <v>2026</v>
      </c>
      <c r="B4463" s="2">
        <v>7</v>
      </c>
      <c r="C4463" s="2" t="s">
        <v>3433</v>
      </c>
      <c r="D4463" s="2" t="s">
        <v>1298</v>
      </c>
      <c r="E4463" s="2" t="s">
        <v>184</v>
      </c>
      <c r="F4463" s="2" t="s">
        <v>367</v>
      </c>
      <c r="G4463" s="2">
        <v>500625654</v>
      </c>
      <c r="H4463" s="2" t="s">
        <v>291</v>
      </c>
      <c r="I4463" s="2" t="s">
        <v>340</v>
      </c>
      <c r="J4463" s="2" t="s">
        <v>1299</v>
      </c>
      <c r="L4463" s="2" t="s">
        <v>340</v>
      </c>
      <c r="M4463" s="2" t="s">
        <v>81</v>
      </c>
      <c r="P4463" s="2" t="s">
        <v>94</v>
      </c>
      <c r="Q4463" s="2" t="s">
        <v>95</v>
      </c>
      <c r="R4463" s="2" t="s">
        <v>96</v>
      </c>
      <c r="S4463" s="13">
        <v>3</v>
      </c>
      <c r="T4463" s="14">
        <v>4.4400000000000004</v>
      </c>
      <c r="U4463" s="2">
        <f t="shared" si="711"/>
        <v>1.0212000000000001</v>
      </c>
      <c r="V4463" s="2">
        <f t="shared" si="712"/>
        <v>5.4612000000000007</v>
      </c>
      <c r="W4463" s="2">
        <f>1.48*S4463</f>
        <v>4.4399999999999995</v>
      </c>
      <c r="X4463" s="5">
        <f t="shared" si="704"/>
        <v>2.000401846171453E-16</v>
      </c>
      <c r="Z4463" s="2" t="s">
        <v>3233</v>
      </c>
      <c r="AA4463" s="2" t="s">
        <v>97</v>
      </c>
      <c r="AB4463" s="2" t="s">
        <v>77</v>
      </c>
      <c r="AC4463" s="2" t="s">
        <v>94</v>
      </c>
      <c r="AK4463" s="2">
        <f t="shared" si="709"/>
        <v>0</v>
      </c>
      <c r="AL4463" s="5">
        <f t="shared" si="710"/>
        <v>2.000401846171453E-16</v>
      </c>
    </row>
    <row r="4464" spans="1:38" hidden="1" x14ac:dyDescent="0.2">
      <c r="A4464" s="2">
        <v>2026</v>
      </c>
      <c r="B4464" s="2">
        <v>7</v>
      </c>
      <c r="C4464" s="2" t="s">
        <v>3433</v>
      </c>
      <c r="D4464" s="2" t="s">
        <v>2370</v>
      </c>
      <c r="M4464" s="2" t="s">
        <v>81</v>
      </c>
      <c r="P4464" s="2" t="s">
        <v>43</v>
      </c>
      <c r="Q4464" s="2" t="s">
        <v>49</v>
      </c>
      <c r="R4464" s="2" t="s">
        <v>50</v>
      </c>
      <c r="S4464" s="13">
        <v>4</v>
      </c>
      <c r="T4464" s="14">
        <v>52</v>
      </c>
      <c r="U4464" s="2">
        <f t="shared" si="711"/>
        <v>11.96</v>
      </c>
      <c r="V4464" s="2">
        <f t="shared" si="712"/>
        <v>63.96</v>
      </c>
      <c r="W4464" s="2">
        <f>6.6267*S4464</f>
        <v>26.506799999999998</v>
      </c>
      <c r="X4464" s="5">
        <f t="shared" ref="X4464:X4469" si="713">(T4464-W4464)/T4464</f>
        <v>0.49025384615384621</v>
      </c>
      <c r="Z4464" s="2" t="s">
        <v>3233</v>
      </c>
      <c r="AA4464" s="2" t="s">
        <v>46</v>
      </c>
      <c r="AB4464" s="2" t="s">
        <v>47</v>
      </c>
      <c r="AC4464" s="2" t="s">
        <v>48</v>
      </c>
      <c r="AK4464" s="2">
        <f t="shared" si="709"/>
        <v>25.493200000000002</v>
      </c>
      <c r="AL4464" s="5">
        <f t="shared" si="710"/>
        <v>0.49025384615384621</v>
      </c>
    </row>
    <row r="4465" spans="1:38" hidden="1" x14ac:dyDescent="0.2">
      <c r="A4465" s="2">
        <v>2026</v>
      </c>
      <c r="B4465" s="2">
        <v>7</v>
      </c>
      <c r="C4465" s="2" t="s">
        <v>3433</v>
      </c>
      <c r="D4465" s="2" t="s">
        <v>37</v>
      </c>
      <c r="E4465" s="2" t="s">
        <v>38</v>
      </c>
      <c r="F4465" s="2" t="s">
        <v>39</v>
      </c>
      <c r="L4465" s="2" t="s">
        <v>100</v>
      </c>
      <c r="M4465" s="2" t="s">
        <v>81</v>
      </c>
      <c r="P4465" s="2" t="s">
        <v>43</v>
      </c>
      <c r="Q4465" s="24" t="s">
        <v>55</v>
      </c>
      <c r="R4465" s="24" t="s">
        <v>56</v>
      </c>
      <c r="S4465" s="25">
        <v>1</v>
      </c>
      <c r="T4465" s="26">
        <v>18</v>
      </c>
      <c r="U4465" s="2">
        <f>T4465*23%</f>
        <v>4.1400000000000006</v>
      </c>
      <c r="V4465" s="12">
        <f>T4465+U4465</f>
        <v>22.14</v>
      </c>
      <c r="W4465" s="2">
        <f>10.6*S4465</f>
        <v>10.6</v>
      </c>
      <c r="X4465" s="5">
        <f t="shared" si="713"/>
        <v>0.41111111111111115</v>
      </c>
      <c r="Z4465" s="2" t="s">
        <v>3233</v>
      </c>
      <c r="AA4465" s="2" t="s">
        <v>46</v>
      </c>
      <c r="AB4465" s="2" t="s">
        <v>57</v>
      </c>
      <c r="AC4465" s="2" t="s">
        <v>58</v>
      </c>
      <c r="AK4465" s="2">
        <f t="shared" ref="AK4465:AK4469" si="714">T4465-W4465</f>
        <v>7.4</v>
      </c>
      <c r="AL4465" s="5">
        <f t="shared" ref="AL4465:AL4469" si="715">(T4465-W4465)/T4465</f>
        <v>0.41111111111111115</v>
      </c>
    </row>
    <row r="4466" spans="1:38" hidden="1" x14ac:dyDescent="0.2">
      <c r="A4466" s="2">
        <v>2026</v>
      </c>
      <c r="B4466" s="2">
        <v>7</v>
      </c>
      <c r="C4466" s="2" t="s">
        <v>3433</v>
      </c>
      <c r="D4466" s="2" t="s">
        <v>37</v>
      </c>
      <c r="E4466" s="2" t="s">
        <v>38</v>
      </c>
      <c r="F4466" s="2" t="s">
        <v>39</v>
      </c>
      <c r="L4466" s="2" t="s">
        <v>100</v>
      </c>
      <c r="M4466" s="2" t="s">
        <v>81</v>
      </c>
      <c r="P4466" s="2" t="s">
        <v>43</v>
      </c>
      <c r="Q4466" s="24" t="s">
        <v>59</v>
      </c>
      <c r="R4466" s="24" t="s">
        <v>60</v>
      </c>
      <c r="S4466" s="25">
        <v>100</v>
      </c>
      <c r="T4466" s="26">
        <v>14</v>
      </c>
      <c r="U4466" s="2">
        <f t="shared" ref="U4466:U4469" si="716">T4466*23%</f>
        <v>3.22</v>
      </c>
      <c r="V4466" s="12">
        <f t="shared" ref="V4466:V4469" si="717">T4466+U4466</f>
        <v>17.22</v>
      </c>
      <c r="W4466" s="2">
        <f>0.0914*S4466</f>
        <v>9.1399999999999988</v>
      </c>
      <c r="X4466" s="5">
        <f t="shared" si="713"/>
        <v>0.34714285714285725</v>
      </c>
      <c r="Z4466" s="2" t="s">
        <v>3233</v>
      </c>
      <c r="AA4466" s="2" t="s">
        <v>46</v>
      </c>
      <c r="AB4466" s="2" t="s">
        <v>61</v>
      </c>
      <c r="AC4466" s="2" t="s">
        <v>58</v>
      </c>
      <c r="AK4466" s="2">
        <f t="shared" si="714"/>
        <v>4.8600000000000012</v>
      </c>
      <c r="AL4466" s="5">
        <f t="shared" si="715"/>
        <v>0.34714285714285725</v>
      </c>
    </row>
    <row r="4467" spans="1:38" hidden="1" x14ac:dyDescent="0.2">
      <c r="A4467" s="2">
        <v>2026</v>
      </c>
      <c r="B4467" s="2">
        <v>7</v>
      </c>
      <c r="C4467" s="2" t="s">
        <v>3433</v>
      </c>
      <c r="D4467" s="24" t="s">
        <v>459</v>
      </c>
      <c r="E4467" s="2" t="s">
        <v>109</v>
      </c>
      <c r="F4467" s="2" t="s">
        <v>39</v>
      </c>
      <c r="L4467" s="2" t="s">
        <v>462</v>
      </c>
      <c r="M4467" s="2" t="s">
        <v>41</v>
      </c>
      <c r="P4467" s="2" t="s">
        <v>283</v>
      </c>
      <c r="Q4467" s="24" t="s">
        <v>402</v>
      </c>
      <c r="R4467" s="24" t="s">
        <v>403</v>
      </c>
      <c r="S4467" s="25">
        <v>5</v>
      </c>
      <c r="T4467" s="26">
        <v>145</v>
      </c>
      <c r="U4467" s="2">
        <f t="shared" si="716"/>
        <v>33.35</v>
      </c>
      <c r="V4467" s="12">
        <f t="shared" si="717"/>
        <v>178.35</v>
      </c>
      <c r="W4467" s="2">
        <f>14.5099*S4467</f>
        <v>72.549499999999995</v>
      </c>
      <c r="X4467" s="5">
        <f t="shared" si="713"/>
        <v>0.49965862068965522</v>
      </c>
      <c r="Z4467" s="2" t="s">
        <v>3233</v>
      </c>
      <c r="AA4467" s="2" t="s">
        <v>46</v>
      </c>
      <c r="AB4467" s="2" t="s">
        <v>61</v>
      </c>
      <c r="AC4467" s="2" t="s">
        <v>3339</v>
      </c>
      <c r="AK4467" s="2">
        <f t="shared" si="714"/>
        <v>72.450500000000005</v>
      </c>
      <c r="AL4467" s="5">
        <f t="shared" si="715"/>
        <v>0.49965862068965522</v>
      </c>
    </row>
    <row r="4468" spans="1:38" hidden="1" x14ac:dyDescent="0.2">
      <c r="A4468" s="2">
        <v>2026</v>
      </c>
      <c r="B4468" s="2">
        <v>7</v>
      </c>
      <c r="C4468" s="2" t="s">
        <v>3433</v>
      </c>
      <c r="D4468" s="24" t="s">
        <v>2055</v>
      </c>
      <c r="E4468" s="2" t="s">
        <v>109</v>
      </c>
      <c r="F4468" s="2" t="s">
        <v>39</v>
      </c>
      <c r="L4468" s="2" t="s">
        <v>481</v>
      </c>
      <c r="M4468" s="2" t="s">
        <v>40</v>
      </c>
      <c r="P4468" s="2" t="s">
        <v>115</v>
      </c>
      <c r="Q4468" s="24" t="s">
        <v>1519</v>
      </c>
      <c r="R4468" s="24" t="s">
        <v>1520</v>
      </c>
      <c r="S4468" s="25">
        <v>1</v>
      </c>
      <c r="T4468" s="26">
        <v>24.39</v>
      </c>
      <c r="U4468" s="2">
        <f t="shared" si="716"/>
        <v>5.6097000000000001</v>
      </c>
      <c r="V4468" s="12">
        <f t="shared" si="717"/>
        <v>29.999700000000001</v>
      </c>
      <c r="X4468" s="5">
        <f t="shared" si="713"/>
        <v>1</v>
      </c>
      <c r="Z4468" s="2" t="s">
        <v>118</v>
      </c>
      <c r="AA4468" s="2" t="s">
        <v>119</v>
      </c>
      <c r="AB4468" s="2" t="s">
        <v>120</v>
      </c>
      <c r="AC4468" s="2" t="s">
        <v>115</v>
      </c>
      <c r="AK4468" s="2">
        <f t="shared" si="714"/>
        <v>24.39</v>
      </c>
      <c r="AL4468" s="5">
        <f t="shared" si="715"/>
        <v>1</v>
      </c>
    </row>
    <row r="4469" spans="1:38" hidden="1" x14ac:dyDescent="0.2">
      <c r="A4469" s="2">
        <v>2026</v>
      </c>
      <c r="B4469" s="2">
        <v>7</v>
      </c>
      <c r="C4469" s="2" t="s">
        <v>3433</v>
      </c>
      <c r="D4469" s="24" t="s">
        <v>2055</v>
      </c>
      <c r="E4469" s="2" t="s">
        <v>109</v>
      </c>
      <c r="F4469" s="2" t="s">
        <v>39</v>
      </c>
      <c r="L4469" s="2" t="s">
        <v>481</v>
      </c>
      <c r="M4469" s="2" t="s">
        <v>40</v>
      </c>
      <c r="P4469" s="2" t="s">
        <v>170</v>
      </c>
      <c r="Q4469" s="24" t="s">
        <v>171</v>
      </c>
      <c r="R4469" s="24" t="s">
        <v>171</v>
      </c>
      <c r="S4469" s="25">
        <v>1</v>
      </c>
      <c r="T4469" s="26">
        <v>8</v>
      </c>
      <c r="U4469" s="2">
        <f t="shared" si="716"/>
        <v>1.84</v>
      </c>
      <c r="V4469" s="12">
        <f t="shared" si="717"/>
        <v>9.84</v>
      </c>
      <c r="X4469" s="5">
        <f t="shared" si="713"/>
        <v>1</v>
      </c>
      <c r="Z4469" s="2" t="s">
        <v>170</v>
      </c>
      <c r="AA4469" s="2" t="s">
        <v>170</v>
      </c>
      <c r="AK4469" s="2">
        <f t="shared" si="714"/>
        <v>8</v>
      </c>
      <c r="AL4469" s="5">
        <f t="shared" si="715"/>
        <v>1</v>
      </c>
    </row>
  </sheetData>
  <autoFilter ref="A1:AL4469" xr:uid="{00000000-0001-0000-0000-000000000000}">
    <filterColumn colId="3">
      <filters>
        <filter val="PETROLAGOINHA COMERCIO DE COMBUSTIVEIS E LUBRIFICANTES LDA"/>
      </filters>
    </filterColumn>
  </autoFilter>
  <sortState xmlns:xlrd2="http://schemas.microsoft.com/office/spreadsheetml/2017/richdata2" ref="A2:AL4277">
    <sortCondition ref="A2:A427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2026-07-23T06:22:47Z</dcterms:modified>
</cp:coreProperties>
</file>